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Светлана\Desktop\ИТМО\2 курс\3 сем\физика\1.01\"/>
    </mc:Choice>
  </mc:AlternateContent>
  <xr:revisionPtr revIDLastSave="0" documentId="13_ncr:1_{F82C7C25-8BD4-4687-80A5-49E509EF55ED}" xr6:coauthVersionLast="47" xr6:coauthVersionMax="47" xr10:uidLastSave="{00000000-0000-0000-0000-000000000000}"/>
  <bookViews>
    <workbookView xWindow="-110" yWindow="-110" windowWidth="22620" windowHeight="13500" activeTab="1" xr2:uid="{586293B0-CDE6-4131-AE78-A9DB9A98673F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" i="1" l="1"/>
  <c r="G4" i="1" s="1"/>
  <c r="K16" i="1"/>
  <c r="K17" i="1"/>
  <c r="K15" i="1"/>
  <c r="J16" i="1"/>
  <c r="J17" i="1"/>
  <c r="J15" i="1"/>
  <c r="I17" i="1"/>
  <c r="I16" i="1"/>
  <c r="I15" i="1"/>
  <c r="H17" i="1"/>
  <c r="H16" i="1"/>
  <c r="R2" i="1"/>
  <c r="O2" i="1"/>
  <c r="P2" i="1" s="1"/>
  <c r="Q2" i="1" s="1"/>
  <c r="L2" i="1"/>
  <c r="I2" i="1"/>
  <c r="H2" i="1"/>
  <c r="J2" i="1" s="1"/>
  <c r="M2" i="1" s="1"/>
  <c r="K2" i="1"/>
  <c r="C3" i="1"/>
  <c r="C4" i="1"/>
  <c r="C5" i="1"/>
  <c r="C6" i="1"/>
  <c r="C7" i="1"/>
  <c r="C8" i="1"/>
  <c r="C25" i="1"/>
  <c r="C27" i="1"/>
  <c r="C28" i="1"/>
  <c r="C29" i="1"/>
  <c r="C30" i="1"/>
  <c r="C31" i="1"/>
  <c r="C32" i="1"/>
  <c r="C48" i="1"/>
  <c r="C51" i="1"/>
  <c r="C2" i="1"/>
  <c r="B3" i="1"/>
  <c r="B4" i="1"/>
  <c r="B5" i="1"/>
  <c r="B6" i="1"/>
  <c r="B22" i="1"/>
  <c r="B25" i="1"/>
  <c r="B26" i="1"/>
  <c r="B27" i="1"/>
  <c r="B28" i="1"/>
  <c r="B29" i="1"/>
  <c r="B30" i="1"/>
  <c r="B49" i="1"/>
  <c r="B50" i="1"/>
  <c r="B51" i="1"/>
  <c r="B2" i="1"/>
  <c r="B45" i="1" l="1"/>
  <c r="C22" i="1"/>
  <c r="B24" i="1"/>
  <c r="C26" i="1"/>
  <c r="C49" i="1"/>
  <c r="B47" i="1"/>
  <c r="B23" i="1"/>
  <c r="B21" i="1"/>
  <c r="C23" i="1"/>
  <c r="C20" i="1"/>
  <c r="B40" i="1"/>
  <c r="B39" i="1"/>
  <c r="B48" i="1"/>
  <c r="C50" i="1"/>
  <c r="B20" i="1"/>
  <c r="B43" i="1"/>
  <c r="C45" i="1"/>
  <c r="C21" i="1"/>
  <c r="B42" i="1"/>
  <c r="C44" i="1"/>
  <c r="B17" i="1"/>
  <c r="C19" i="1"/>
  <c r="B16" i="1"/>
  <c r="C18" i="1"/>
  <c r="B15" i="1"/>
  <c r="C17" i="1"/>
  <c r="B38" i="1"/>
  <c r="B14" i="1"/>
  <c r="C40" i="1"/>
  <c r="C16" i="1"/>
  <c r="B37" i="1"/>
  <c r="B13" i="1"/>
  <c r="C39" i="1"/>
  <c r="C15" i="1"/>
  <c r="B36" i="1"/>
  <c r="B12" i="1"/>
  <c r="C38" i="1"/>
  <c r="C14" i="1"/>
  <c r="B11" i="1"/>
  <c r="C13" i="1"/>
  <c r="B10" i="1"/>
  <c r="C12" i="1"/>
  <c r="B33" i="1"/>
  <c r="C35" i="1"/>
  <c r="B32" i="1"/>
  <c r="B8" i="1"/>
  <c r="C34" i="1"/>
  <c r="C10" i="1"/>
  <c r="B46" i="1"/>
  <c r="C24" i="1"/>
  <c r="C47" i="1"/>
  <c r="B44" i="1"/>
  <c r="C46" i="1"/>
  <c r="B19" i="1"/>
  <c r="B18" i="1"/>
  <c r="B41" i="1"/>
  <c r="C43" i="1"/>
  <c r="C42" i="1"/>
  <c r="N3" i="1"/>
  <c r="C41" i="1"/>
  <c r="B35" i="1"/>
  <c r="C37" i="1"/>
  <c r="B34" i="1"/>
  <c r="C36" i="1"/>
  <c r="B9" i="1"/>
  <c r="C11" i="1"/>
  <c r="B31" i="1"/>
  <c r="B7" i="1"/>
  <c r="C33" i="1"/>
  <c r="C9" i="1"/>
  <c r="D2" i="1" l="1"/>
  <c r="O3" i="1"/>
  <c r="N4" i="1" s="1"/>
  <c r="R3" i="1"/>
  <c r="S3" i="1" s="1"/>
  <c r="P3" i="1"/>
  <c r="Q3" i="1" s="1"/>
  <c r="R4" i="1" l="1"/>
  <c r="S4" i="1" s="1"/>
  <c r="O4" i="1"/>
  <c r="N5" i="1" s="1"/>
  <c r="E2" i="1"/>
  <c r="H15" i="1"/>
  <c r="S2" i="1"/>
  <c r="O5" i="1" l="1"/>
  <c r="N6" i="1" s="1"/>
  <c r="P5" i="1"/>
  <c r="Q5" i="1" s="1"/>
  <c r="R5" i="1"/>
  <c r="S5" i="1" s="1"/>
  <c r="P4" i="1"/>
  <c r="Q4" i="1" s="1"/>
  <c r="O6" i="1" l="1"/>
  <c r="N7" i="1" s="1"/>
  <c r="R6" i="1"/>
  <c r="S6" i="1" s="1"/>
  <c r="P6" i="1"/>
  <c r="Q6" i="1" s="1"/>
  <c r="O7" i="1" l="1"/>
  <c r="N8" i="1" s="1"/>
  <c r="P7" i="1"/>
  <c r="Q7" i="1" s="1"/>
  <c r="R7" i="1"/>
  <c r="S7" i="1" s="1"/>
  <c r="O8" i="1" l="1"/>
  <c r="P8" i="1"/>
  <c r="Q8" i="1" s="1"/>
  <c r="R8" i="1"/>
  <c r="S8" i="1" s="1"/>
</calcChain>
</file>

<file path=xl/sharedStrings.xml><?xml version="1.0" encoding="utf-8"?>
<sst xmlns="http://schemas.openxmlformats.org/spreadsheetml/2006/main" count="42" uniqueCount="36">
  <si>
    <r>
      <t xml:space="preserve"> </t>
    </r>
    <r>
      <rPr>
        <i/>
        <sz val="12"/>
        <color rgb="FF000000"/>
        <rFont val="Times New Roman"/>
        <family val="1"/>
        <charset val="204"/>
      </rPr>
      <t>, с</t>
    </r>
  </si>
  <si>
    <t>ti - tN, с</t>
  </si>
  <si>
    <t>(ti - tN)^2, с^2</t>
  </si>
  <si>
    <t>tN, c</t>
  </si>
  <si>
    <t>ρmax, c^(-1)</t>
  </si>
  <si>
    <r>
      <t>t</t>
    </r>
    <r>
      <rPr>
        <sz val="11"/>
        <color theme="1"/>
        <rFont val="Aptos Narrow"/>
        <family val="2"/>
      </rPr>
      <t>α</t>
    </r>
    <r>
      <rPr>
        <sz val="11"/>
        <color theme="1"/>
        <rFont val="Aptos Narrow"/>
        <family val="2"/>
        <charset val="204"/>
      </rPr>
      <t>,n</t>
    </r>
  </si>
  <si>
    <t>tmax, с</t>
  </si>
  <si>
    <t>tmin, с</t>
  </si>
  <si>
    <t>sqrt(N)</t>
  </si>
  <si>
    <t>Δt</t>
  </si>
  <si>
    <t>tmax - tmin, c</t>
  </si>
  <si>
    <t>Δt, c</t>
  </si>
  <si>
    <r>
      <rPr>
        <sz val="11"/>
        <color theme="1"/>
        <rFont val="Aptos Narrow"/>
        <family val="2"/>
      </rPr>
      <t>Δ</t>
    </r>
    <r>
      <rPr>
        <sz val="11"/>
        <color theme="1"/>
        <rFont val="Aptos Narrow"/>
        <family val="2"/>
        <charset val="204"/>
      </rPr>
      <t>N</t>
    </r>
  </si>
  <si>
    <r>
      <t>Δ</t>
    </r>
    <r>
      <rPr>
        <sz val="11"/>
        <color theme="1"/>
        <rFont val="Aptos Narrow"/>
        <family val="2"/>
        <charset val="204"/>
      </rPr>
      <t>N</t>
    </r>
  </si>
  <si>
    <t>ti, c</t>
  </si>
  <si>
    <t>ti+1, c</t>
  </si>
  <si>
    <t>ΔN/(Δt * N)</t>
  </si>
  <si>
    <t>S(tср), c</t>
  </si>
  <si>
    <t>t, c (середина интервала)</t>
  </si>
  <si>
    <t>ρ, c^(-1)</t>
  </si>
  <si>
    <t xml:space="preserve">Sn, c </t>
  </si>
  <si>
    <t>Интервал, с</t>
  </si>
  <si>
    <t>от</t>
  </si>
  <si>
    <t>до</t>
  </si>
  <si>
    <r>
      <rPr>
        <sz val="11"/>
        <color theme="1"/>
        <rFont val="Aptos Narrow"/>
        <family val="2"/>
      </rPr>
      <t>Δ</t>
    </r>
    <r>
      <rPr>
        <sz val="11"/>
        <color theme="1"/>
        <rFont val="Aptos Narrow"/>
        <family val="2"/>
        <charset val="204"/>
      </rPr>
      <t>N/N</t>
    </r>
  </si>
  <si>
    <t>P</t>
  </si>
  <si>
    <t>tN +- Sn</t>
  </si>
  <si>
    <t>tN +- 2Sn</t>
  </si>
  <si>
    <t>tN +- 3Sn</t>
  </si>
  <si>
    <t>0,6 -6,3</t>
  </si>
  <si>
    <t>6,3 - 12</t>
  </si>
  <si>
    <t>12 - 17,7</t>
  </si>
  <si>
    <t>17,7- 23,4</t>
  </si>
  <si>
    <t>23,4-29,1</t>
  </si>
  <si>
    <t>29,1-34,8</t>
  </si>
  <si>
    <t>34,8-40,5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</si>
</sst>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204"/>
      <scheme val="minor"/>
    </font>
    <font>
      <i/>
      <vertAlign val="subscript"/>
      <sz val="12"/>
      <color rgb="FF000000"/>
      <name val="Times New Roman"/>
      <family val="1"/>
      <charset val="204"/>
    </font>
    <font>
      <i/>
      <sz val="12"/>
      <color rgb="FF000000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1"/>
      <color theme="1"/>
      <name val="Aptos Narrow"/>
      <family val="2"/>
    </font>
    <font>
      <sz val="11"/>
      <color theme="1"/>
      <name val="Aptos Narrow"/>
      <family val="2"/>
      <charset val="204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Лист2!$H$1</c:f>
              <c:strCache>
                <c:ptCount val="1"/>
                <c:pt idx="0">
                  <c:v>ΔN/(Δt * N)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1">
                  <a:lumMod val="75000"/>
                </a:schemeClr>
              </a:solidFill>
            </a:ln>
            <a:effectLst/>
          </c:spPr>
          <c:invertIfNegative val="0"/>
          <c:cat>
            <c:strLit>
              <c:ptCount val="7"/>
              <c:pt idx="0">
                <c:v>0,6-6,3</c:v>
              </c:pt>
              <c:pt idx="1">
                <c:v>6,3-12</c:v>
              </c:pt>
              <c:pt idx="2">
                <c:v>12-17,7</c:v>
              </c:pt>
              <c:pt idx="3">
                <c:v>17,7-23,4</c:v>
              </c:pt>
              <c:pt idx="4">
                <c:v>23,4-29,1</c:v>
              </c:pt>
              <c:pt idx="5">
                <c:v>29,1-34,8</c:v>
              </c:pt>
              <c:pt idx="6">
                <c:v>34,8-40,5</c:v>
              </c:pt>
            </c:strLit>
          </c:cat>
          <c:val>
            <c:numRef>
              <c:f>Лист2!$H$2:$H$8</c:f>
              <c:numCache>
                <c:formatCode>General</c:formatCode>
                <c:ptCount val="7"/>
                <c:pt idx="0">
                  <c:v>3.1578947368421054E-2</c:v>
                </c:pt>
                <c:pt idx="1">
                  <c:v>3.8596491228070177E-2</c:v>
                </c:pt>
                <c:pt idx="2">
                  <c:v>6.3157894736842107E-2</c:v>
                </c:pt>
                <c:pt idx="3">
                  <c:v>2.456140350877193E-2</c:v>
                </c:pt>
                <c:pt idx="4">
                  <c:v>3.5087719298245615E-3</c:v>
                </c:pt>
                <c:pt idx="5">
                  <c:v>0</c:v>
                </c:pt>
                <c:pt idx="6">
                  <c:v>7.0175438596491229E-3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74-43C3-9474-9C49D554FF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585947656"/>
        <c:axId val="585945136"/>
      </c:barChart>
      <c:lineChart>
        <c:grouping val="standard"/>
        <c:varyColors val="0"/>
        <c:ser>
          <c:idx val="1"/>
          <c:order val="1"/>
          <c:tx>
            <c:strRef>
              <c:f>Лист2!$I$1</c:f>
              <c:strCache>
                <c:ptCount val="1"/>
                <c:pt idx="0">
                  <c:v>ρ, c^(-1)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val>
            <c:numRef>
              <c:f>Лист2!$I$2:$I$8</c:f>
              <c:numCache>
                <c:formatCode>General</c:formatCode>
                <c:ptCount val="7"/>
                <c:pt idx="0">
                  <c:v>2.3041217840828729E-2</c:v>
                </c:pt>
                <c:pt idx="1">
                  <c:v>4.1187091379917933E-2</c:v>
                </c:pt>
                <c:pt idx="2">
                  <c:v>4.6692022966775923E-2</c:v>
                </c:pt>
                <c:pt idx="3">
                  <c:v>3.3569906487472975E-2</c:v>
                </c:pt>
                <c:pt idx="4">
                  <c:v>1.5306766115347861E-2</c:v>
                </c:pt>
                <c:pt idx="5">
                  <c:v>4.4263182367878691E-3</c:v>
                </c:pt>
                <c:pt idx="6">
                  <c:v>8.1176009361727855E-4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6574-43C3-9474-9C49D554FF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5947656"/>
        <c:axId val="585945136"/>
      </c:lineChart>
      <c:catAx>
        <c:axId val="5859476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t,</a:t>
                </a:r>
                <a:r>
                  <a:rPr lang="ru-RU"/>
                  <a:t> с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85945136"/>
        <c:crosses val="autoZero"/>
        <c:auto val="0"/>
        <c:lblAlgn val="ctr"/>
        <c:lblOffset val="100"/>
        <c:noMultiLvlLbl val="0"/>
      </c:catAx>
      <c:valAx>
        <c:axId val="585945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Δ</a:t>
                </a:r>
                <a:r>
                  <a:rPr lang="en-US"/>
                  <a:t>N/(</a:t>
                </a:r>
                <a:r>
                  <a:rPr lang="el-GR"/>
                  <a:t>Δ</a:t>
                </a:r>
                <a:r>
                  <a:rPr lang="en-US"/>
                  <a:t>t * N)</a:t>
                </a:r>
                <a:r>
                  <a:rPr lang="ru-RU"/>
                  <a:t>,</a:t>
                </a:r>
                <a:r>
                  <a:rPr lang="ru-RU" baseline="0"/>
                  <a:t> с</a:t>
                </a:r>
                <a:r>
                  <a:rPr lang="en-US" baseline="0"/>
                  <a:t>^-1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85947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104775</xdr:colOff>
      <xdr:row>0</xdr:row>
      <xdr:rowOff>180975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1EE0439A-215A-43A5-307F-427F922487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295274</xdr:colOff>
      <xdr:row>10</xdr:row>
      <xdr:rowOff>171450</xdr:rowOff>
    </xdr:from>
    <xdr:to>
      <xdr:col>16</xdr:col>
      <xdr:colOff>500673</xdr:colOff>
      <xdr:row>31</xdr:row>
      <xdr:rowOff>103798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E504DAAE-1F83-D55D-4F63-36F27CE508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F2CEC-338A-4E7C-AF34-2A5C6C4873D1}">
  <dimension ref="A1:S51"/>
  <sheetViews>
    <sheetView topLeftCell="Q1" zoomScale="160" workbookViewId="0">
      <selection activeCell="S1" sqref="S1:S8"/>
    </sheetView>
  </sheetViews>
  <sheetFormatPr defaultRowHeight="14.5" x14ac:dyDescent="0.35"/>
  <cols>
    <col min="1" max="1" width="23.26953125" customWidth="1"/>
    <col min="2" max="2" width="18.453125" customWidth="1"/>
    <col min="3" max="3" width="18.26953125" customWidth="1"/>
    <col min="5" max="5" width="12.81640625" customWidth="1"/>
    <col min="10" max="10" width="18.26953125" customWidth="1"/>
    <col min="17" max="17" width="11.81640625" customWidth="1"/>
    <col min="18" max="18" width="23.81640625" customWidth="1"/>
    <col min="19" max="19" width="10.26953125" customWidth="1"/>
  </cols>
  <sheetData>
    <row r="1" spans="1:19" ht="18" thickBot="1" x14ac:dyDescent="0.4">
      <c r="A1" s="3" t="s">
        <v>0</v>
      </c>
      <c r="B1" s="4" t="s">
        <v>1</v>
      </c>
      <c r="C1" s="4" t="s">
        <v>2</v>
      </c>
      <c r="D1" s="4" t="s">
        <v>20</v>
      </c>
      <c r="E1" s="5" t="s">
        <v>4</v>
      </c>
      <c r="F1" s="4" t="s">
        <v>17</v>
      </c>
      <c r="G1" s="4" t="s">
        <v>5</v>
      </c>
      <c r="H1" s="4" t="s">
        <v>6</v>
      </c>
      <c r="I1" s="4" t="s">
        <v>7</v>
      </c>
      <c r="J1" s="4" t="s">
        <v>10</v>
      </c>
      <c r="K1" s="4" t="s">
        <v>3</v>
      </c>
      <c r="L1" s="4" t="s">
        <v>8</v>
      </c>
      <c r="M1" s="5" t="s">
        <v>11</v>
      </c>
      <c r="N1" s="4" t="s">
        <v>14</v>
      </c>
      <c r="O1" s="4" t="s">
        <v>15</v>
      </c>
      <c r="P1" s="5" t="s">
        <v>13</v>
      </c>
      <c r="Q1" s="4" t="s">
        <v>16</v>
      </c>
      <c r="R1" s="4" t="s">
        <v>18</v>
      </c>
      <c r="S1" s="4" t="s">
        <v>19</v>
      </c>
    </row>
    <row r="2" spans="1:19" ht="16" thickBot="1" x14ac:dyDescent="0.4">
      <c r="A2" s="1">
        <v>27.39</v>
      </c>
      <c r="B2" s="4">
        <f>A2-$K$2</f>
        <v>13.819800000000001</v>
      </c>
      <c r="C2" s="4">
        <f>(A2-$K$2)^2</f>
        <v>190.98687204000001</v>
      </c>
      <c r="D2" s="4">
        <f>SQRT(SUM(C2:C51)/49)</f>
        <v>8.4466067308302062</v>
      </c>
      <c r="E2">
        <f>1/(D2 * SQRTPI(2))</f>
        <v>4.7231070785536761E-2</v>
      </c>
      <c r="F2">
        <f>SQRT(1 / (50 * 49) * SUM(C2:C51))</f>
        <v>1.1945305794771948</v>
      </c>
      <c r="G2">
        <v>2.0099999999999998</v>
      </c>
      <c r="H2">
        <f>MAX(A2:A51)</f>
        <v>40.5</v>
      </c>
      <c r="I2">
        <f>MIN(A2:A51)</f>
        <v>0.61</v>
      </c>
      <c r="J2">
        <f>H2-I2</f>
        <v>39.89</v>
      </c>
      <c r="K2" s="4">
        <f>SUM(A2:A51)/50</f>
        <v>13.5702</v>
      </c>
      <c r="L2">
        <f>SQRT(50)</f>
        <v>7.0710678118654755</v>
      </c>
      <c r="M2">
        <f>J2/INT(L2)</f>
        <v>5.6985714285714284</v>
      </c>
      <c r="N2">
        <v>0.6</v>
      </c>
      <c r="O2">
        <f>N2+$M$3</f>
        <v>6.3</v>
      </c>
      <c r="P2">
        <f>COUNTIFS(A2:A51, "&gt;"&amp;N2, A2:A51, "&lt;="&amp;O2)</f>
        <v>9</v>
      </c>
      <c r="Q2" s="4">
        <f>P2/($M$3*50)</f>
        <v>3.1578947368421054E-2</v>
      </c>
      <c r="R2">
        <f>N2+$M$3/2</f>
        <v>3.45</v>
      </c>
      <c r="S2">
        <f>_xlfn.NORM.DIST(R2, $K$2, $D$2, FALSE)</f>
        <v>2.3041217840828729E-2</v>
      </c>
    </row>
    <row r="3" spans="1:19" ht="16" thickBot="1" x14ac:dyDescent="0.4">
      <c r="A3" s="1">
        <v>13.75</v>
      </c>
      <c r="B3" s="4">
        <f t="shared" ref="B3:B51" si="0">A3-$K$2</f>
        <v>0.17980000000000018</v>
      </c>
      <c r="C3" s="4">
        <f t="shared" ref="C3:C51" si="1">(A3-$K$2)^2</f>
        <v>3.2328040000000065E-2</v>
      </c>
      <c r="D3" s="4"/>
      <c r="G3" t="s">
        <v>9</v>
      </c>
      <c r="M3">
        <v>5.7</v>
      </c>
      <c r="N3">
        <f>O2</f>
        <v>6.3</v>
      </c>
      <c r="O3">
        <f>N3+$M$3</f>
        <v>12</v>
      </c>
      <c r="P3">
        <f t="shared" ref="P3:P8" si="2">COUNTIFS(A3:A52, "&gt;"&amp;N3, A3:A52, "&lt;="&amp;O3)</f>
        <v>11</v>
      </c>
      <c r="Q3" s="4">
        <f t="shared" ref="Q3:Q8" si="3">P3/($M$3*50)</f>
        <v>3.8596491228070177E-2</v>
      </c>
      <c r="R3">
        <f t="shared" ref="R3:R8" si="4">N3+$M$3/2</f>
        <v>9.15</v>
      </c>
      <c r="S3">
        <f t="shared" ref="S3:S8" si="5">_xlfn.NORM.DIST(R3, $K$2, $D$2, FALSE)</f>
        <v>4.1187091379917933E-2</v>
      </c>
    </row>
    <row r="4" spans="1:19" ht="16" thickBot="1" x14ac:dyDescent="0.4">
      <c r="A4" s="1">
        <v>1.1599999999999999</v>
      </c>
      <c r="B4" s="4">
        <f t="shared" si="0"/>
        <v>-12.4102</v>
      </c>
      <c r="C4" s="4">
        <f t="shared" si="1"/>
        <v>154.01306403999999</v>
      </c>
      <c r="D4" s="4"/>
      <c r="G4">
        <f>G2 * F2</f>
        <v>2.4010064647491611</v>
      </c>
      <c r="N4">
        <f t="shared" ref="N4:N8" si="6">O3</f>
        <v>12</v>
      </c>
      <c r="O4">
        <f t="shared" ref="O4:O8" si="7">N4+$M$3</f>
        <v>17.7</v>
      </c>
      <c r="P4">
        <f t="shared" si="2"/>
        <v>18</v>
      </c>
      <c r="Q4" s="4">
        <f t="shared" si="3"/>
        <v>6.3157894736842107E-2</v>
      </c>
      <c r="R4">
        <f t="shared" si="4"/>
        <v>14.85</v>
      </c>
      <c r="S4">
        <f t="shared" si="5"/>
        <v>4.6692022966775923E-2</v>
      </c>
    </row>
    <row r="5" spans="1:19" ht="16" thickBot="1" x14ac:dyDescent="0.4">
      <c r="A5" s="1">
        <v>19.829999999999998</v>
      </c>
      <c r="B5" s="4">
        <f t="shared" si="0"/>
        <v>6.2597999999999985</v>
      </c>
      <c r="C5" s="4">
        <f t="shared" si="1"/>
        <v>39.185096039999983</v>
      </c>
      <c r="D5" s="4"/>
      <c r="N5">
        <f t="shared" si="6"/>
        <v>17.7</v>
      </c>
      <c r="O5">
        <f t="shared" si="7"/>
        <v>23.4</v>
      </c>
      <c r="P5">
        <f t="shared" si="2"/>
        <v>7</v>
      </c>
      <c r="Q5" s="4">
        <f t="shared" si="3"/>
        <v>2.456140350877193E-2</v>
      </c>
      <c r="R5">
        <f t="shared" si="4"/>
        <v>20.55</v>
      </c>
      <c r="S5">
        <f t="shared" si="5"/>
        <v>3.3569906487472975E-2</v>
      </c>
    </row>
    <row r="6" spans="1:19" ht="16" thickBot="1" x14ac:dyDescent="0.4">
      <c r="A6" s="1">
        <v>13</v>
      </c>
      <c r="B6" s="4">
        <f t="shared" si="0"/>
        <v>-0.57019999999999982</v>
      </c>
      <c r="C6" s="4">
        <f t="shared" si="1"/>
        <v>0.32512803999999978</v>
      </c>
      <c r="D6" s="4"/>
      <c r="N6">
        <f t="shared" si="6"/>
        <v>23.4</v>
      </c>
      <c r="O6">
        <f t="shared" si="7"/>
        <v>29.099999999999998</v>
      </c>
      <c r="P6">
        <f t="shared" si="2"/>
        <v>1</v>
      </c>
      <c r="Q6" s="4">
        <f t="shared" si="3"/>
        <v>3.5087719298245615E-3</v>
      </c>
      <c r="R6">
        <f t="shared" si="4"/>
        <v>26.25</v>
      </c>
      <c r="S6">
        <f t="shared" si="5"/>
        <v>1.5306766115347861E-2</v>
      </c>
    </row>
    <row r="7" spans="1:19" ht="16" thickBot="1" x14ac:dyDescent="0.4">
      <c r="A7" s="1">
        <v>14.9</v>
      </c>
      <c r="B7" s="4">
        <f t="shared" si="0"/>
        <v>1.3298000000000005</v>
      </c>
      <c r="C7" s="4">
        <f t="shared" si="1"/>
        <v>1.7683680400000015</v>
      </c>
      <c r="D7" s="4"/>
      <c r="N7">
        <f t="shared" si="6"/>
        <v>29.099999999999998</v>
      </c>
      <c r="O7">
        <f t="shared" si="7"/>
        <v>34.799999999999997</v>
      </c>
      <c r="P7">
        <f t="shared" si="2"/>
        <v>0</v>
      </c>
      <c r="Q7" s="4">
        <f t="shared" si="3"/>
        <v>0</v>
      </c>
      <c r="R7">
        <f t="shared" si="4"/>
        <v>31.95</v>
      </c>
      <c r="S7">
        <f t="shared" si="5"/>
        <v>4.4263182367878691E-3</v>
      </c>
    </row>
    <row r="8" spans="1:19" ht="16" thickBot="1" x14ac:dyDescent="0.4">
      <c r="A8" s="1">
        <v>20.12</v>
      </c>
      <c r="B8" s="4">
        <f t="shared" si="0"/>
        <v>6.5498000000000012</v>
      </c>
      <c r="C8" s="4">
        <f t="shared" si="1"/>
        <v>42.899880040000014</v>
      </c>
      <c r="D8" s="4"/>
      <c r="N8">
        <f t="shared" si="6"/>
        <v>34.799999999999997</v>
      </c>
      <c r="O8">
        <f t="shared" si="7"/>
        <v>40.5</v>
      </c>
      <c r="P8">
        <f t="shared" si="2"/>
        <v>2</v>
      </c>
      <c r="Q8" s="4">
        <f t="shared" si="3"/>
        <v>7.0175438596491229E-3</v>
      </c>
      <c r="R8">
        <f t="shared" si="4"/>
        <v>37.65</v>
      </c>
      <c r="S8">
        <f t="shared" si="5"/>
        <v>8.1176009361727855E-4</v>
      </c>
    </row>
    <row r="9" spans="1:19" ht="16" thickBot="1" x14ac:dyDescent="0.4">
      <c r="A9" s="1">
        <v>18.02</v>
      </c>
      <c r="B9" s="4">
        <f t="shared" si="0"/>
        <v>4.4497999999999998</v>
      </c>
      <c r="C9" s="4">
        <f t="shared" si="1"/>
        <v>19.800720039999998</v>
      </c>
      <c r="D9" s="4"/>
    </row>
    <row r="10" spans="1:19" ht="16" thickBot="1" x14ac:dyDescent="0.4">
      <c r="A10" s="1">
        <v>18.23</v>
      </c>
      <c r="B10" s="4">
        <f t="shared" si="0"/>
        <v>4.6598000000000006</v>
      </c>
      <c r="C10" s="4">
        <f t="shared" si="1"/>
        <v>21.713736040000004</v>
      </c>
      <c r="D10" s="4"/>
    </row>
    <row r="11" spans="1:19" ht="16" thickBot="1" x14ac:dyDescent="0.4">
      <c r="A11" s="1">
        <v>13.34</v>
      </c>
      <c r="B11" s="4">
        <f t="shared" si="0"/>
        <v>-0.23019999999999996</v>
      </c>
      <c r="C11" s="4">
        <f t="shared" si="1"/>
        <v>5.2992039999999983E-2</v>
      </c>
      <c r="D11" s="4"/>
    </row>
    <row r="12" spans="1:19" ht="16" thickBot="1" x14ac:dyDescent="0.4">
      <c r="A12" s="1">
        <v>16.87</v>
      </c>
      <c r="B12" s="4">
        <f t="shared" si="0"/>
        <v>3.2998000000000012</v>
      </c>
      <c r="C12" s="4">
        <f t="shared" si="1"/>
        <v>10.888680040000008</v>
      </c>
      <c r="D12" s="4"/>
    </row>
    <row r="13" spans="1:19" ht="16" thickBot="1" x14ac:dyDescent="0.4">
      <c r="A13" s="1">
        <v>14.5</v>
      </c>
      <c r="B13" s="4">
        <f t="shared" si="0"/>
        <v>0.92980000000000018</v>
      </c>
      <c r="C13" s="4">
        <f t="shared" si="1"/>
        <v>0.86452804000000039</v>
      </c>
      <c r="D13" s="4"/>
      <c r="F13" s="13"/>
      <c r="G13" s="14"/>
      <c r="H13" s="14" t="s">
        <v>21</v>
      </c>
      <c r="I13" s="14"/>
      <c r="J13" s="15" t="s">
        <v>12</v>
      </c>
      <c r="K13" s="15" t="s">
        <v>24</v>
      </c>
      <c r="L13" s="16" t="s">
        <v>25</v>
      </c>
    </row>
    <row r="14" spans="1:19" ht="16" thickBot="1" x14ac:dyDescent="0.4">
      <c r="A14" s="1">
        <v>40.5</v>
      </c>
      <c r="B14" s="4">
        <f t="shared" si="0"/>
        <v>26.9298</v>
      </c>
      <c r="C14" s="4">
        <f t="shared" si="1"/>
        <v>725.21412803999999</v>
      </c>
      <c r="D14" s="4"/>
      <c r="F14" s="9"/>
      <c r="G14" s="10"/>
      <c r="H14" t="s">
        <v>22</v>
      </c>
      <c r="I14" t="s">
        <v>23</v>
      </c>
      <c r="J14" s="10"/>
      <c r="K14" s="10"/>
      <c r="L14" s="17"/>
    </row>
    <row r="15" spans="1:19" ht="16" thickBot="1" x14ac:dyDescent="0.4">
      <c r="A15" s="1">
        <v>13.69</v>
      </c>
      <c r="B15" s="4">
        <f t="shared" si="0"/>
        <v>0.11979999999999968</v>
      </c>
      <c r="C15" s="4">
        <f t="shared" si="1"/>
        <v>1.4352039999999924E-2</v>
      </c>
      <c r="D15" s="4"/>
      <c r="F15" s="9" t="s">
        <v>26</v>
      </c>
      <c r="G15" s="10"/>
      <c r="H15">
        <f>$K$2-$D$2</f>
        <v>5.1235932691697936</v>
      </c>
      <c r="I15">
        <f>$K$2+$D$2</f>
        <v>22.016806730830204</v>
      </c>
      <c r="J15">
        <f>COUNTIFS($A$2:$A$51, "&gt;="&amp;H15, $A$2:$A$51, "&lt;="&amp;I15)</f>
        <v>35</v>
      </c>
      <c r="K15">
        <f>J15/50</f>
        <v>0.7</v>
      </c>
      <c r="L15" s="6">
        <v>0.68300000000000005</v>
      </c>
    </row>
    <row r="16" spans="1:19" ht="16" thickBot="1" x14ac:dyDescent="0.4">
      <c r="A16" s="1">
        <v>6.84</v>
      </c>
      <c r="B16" s="4">
        <f t="shared" si="0"/>
        <v>-6.7302</v>
      </c>
      <c r="C16" s="4">
        <f t="shared" si="1"/>
        <v>45.295592040000002</v>
      </c>
      <c r="D16" s="4"/>
      <c r="F16" s="9" t="s">
        <v>27</v>
      </c>
      <c r="G16" s="10"/>
      <c r="H16">
        <f>$K$2-2*$D$2</f>
        <v>-3.3230134616604126</v>
      </c>
      <c r="I16">
        <f>$K$2+2*$D$2</f>
        <v>30.463413461660412</v>
      </c>
      <c r="J16">
        <f t="shared" ref="J16:J17" si="8">COUNTIFS($A$2:$A$51, "&gt;="&amp;H16, $A$2:$A$51, "&lt;="&amp;I16)</f>
        <v>48</v>
      </c>
      <c r="K16">
        <f t="shared" ref="K16:K17" si="9">J16/50</f>
        <v>0.96</v>
      </c>
      <c r="L16" s="6">
        <v>0.95399999999999996</v>
      </c>
    </row>
    <row r="17" spans="1:12" ht="16" thickBot="1" x14ac:dyDescent="0.4">
      <c r="A17" s="1">
        <v>4.09</v>
      </c>
      <c r="B17" s="4">
        <f t="shared" si="0"/>
        <v>-9.4802</v>
      </c>
      <c r="C17" s="4">
        <f t="shared" si="1"/>
        <v>89.874192039999997</v>
      </c>
      <c r="D17" s="4"/>
      <c r="F17" s="11" t="s">
        <v>28</v>
      </c>
      <c r="G17" s="12"/>
      <c r="H17" s="7">
        <f>$K$2-3*$D$2</f>
        <v>-11.769620192490621</v>
      </c>
      <c r="I17" s="7">
        <f>$K$2+3*$D$2</f>
        <v>38.91002019249062</v>
      </c>
      <c r="J17" s="7">
        <f t="shared" si="8"/>
        <v>48</v>
      </c>
      <c r="K17" s="7">
        <f t="shared" si="9"/>
        <v>0.96</v>
      </c>
      <c r="L17" s="8">
        <v>0.997</v>
      </c>
    </row>
    <row r="18" spans="1:12" ht="16" thickBot="1" x14ac:dyDescent="0.4">
      <c r="A18" s="1">
        <v>14.13</v>
      </c>
      <c r="B18" s="4">
        <f t="shared" si="0"/>
        <v>0.55980000000000096</v>
      </c>
      <c r="C18" s="4">
        <f t="shared" si="1"/>
        <v>0.31337604000000108</v>
      </c>
      <c r="D18" s="4"/>
    </row>
    <row r="19" spans="1:12" ht="16" thickBot="1" x14ac:dyDescent="0.4">
      <c r="A19" s="1">
        <v>2.23</v>
      </c>
      <c r="B19" s="4">
        <f t="shared" si="0"/>
        <v>-11.340199999999999</v>
      </c>
      <c r="C19" s="4">
        <f t="shared" si="1"/>
        <v>128.60013604</v>
      </c>
      <c r="D19" s="4"/>
    </row>
    <row r="20" spans="1:12" ht="16" thickBot="1" x14ac:dyDescent="0.4">
      <c r="A20" s="1">
        <v>11.88</v>
      </c>
      <c r="B20" s="4">
        <f t="shared" si="0"/>
        <v>-1.690199999999999</v>
      </c>
      <c r="C20" s="4">
        <f t="shared" si="1"/>
        <v>2.8567760399999966</v>
      </c>
      <c r="D20" s="4"/>
    </row>
    <row r="21" spans="1:12" ht="16" thickBot="1" x14ac:dyDescent="0.4">
      <c r="A21" s="1">
        <v>3.57</v>
      </c>
      <c r="B21" s="4">
        <f t="shared" si="0"/>
        <v>-10.0002</v>
      </c>
      <c r="C21" s="4">
        <f t="shared" si="1"/>
        <v>100.00400003999999</v>
      </c>
      <c r="D21" s="4"/>
    </row>
    <row r="22" spans="1:12" ht="16" thickBot="1" x14ac:dyDescent="0.4">
      <c r="A22" s="1">
        <v>11.9</v>
      </c>
      <c r="B22" s="4">
        <f t="shared" si="0"/>
        <v>-1.6701999999999995</v>
      </c>
      <c r="C22" s="4">
        <f t="shared" si="1"/>
        <v>2.789568039999998</v>
      </c>
      <c r="D22" s="4"/>
    </row>
    <row r="23" spans="1:12" ht="16" thickBot="1" x14ac:dyDescent="0.4">
      <c r="A23" s="1">
        <v>0.61</v>
      </c>
      <c r="B23" s="4">
        <f t="shared" si="0"/>
        <v>-12.9602</v>
      </c>
      <c r="C23" s="4">
        <f t="shared" si="1"/>
        <v>167.96678404000002</v>
      </c>
      <c r="D23" s="4"/>
    </row>
    <row r="24" spans="1:12" ht="16" thickBot="1" x14ac:dyDescent="0.4">
      <c r="A24" s="1">
        <v>10.1</v>
      </c>
      <c r="B24" s="4">
        <f t="shared" si="0"/>
        <v>-3.4702000000000002</v>
      </c>
      <c r="C24" s="4">
        <f t="shared" si="1"/>
        <v>12.042288040000001</v>
      </c>
      <c r="D24" s="4"/>
    </row>
    <row r="25" spans="1:12" ht="16" thickBot="1" x14ac:dyDescent="0.4">
      <c r="A25" s="1">
        <v>11.25</v>
      </c>
      <c r="B25" s="4">
        <f t="shared" si="0"/>
        <v>-2.3201999999999998</v>
      </c>
      <c r="C25" s="4">
        <f t="shared" si="1"/>
        <v>5.3833280399999994</v>
      </c>
      <c r="D25" s="4"/>
    </row>
    <row r="26" spans="1:12" ht="16" thickBot="1" x14ac:dyDescent="0.4">
      <c r="A26" s="1">
        <v>27.05</v>
      </c>
      <c r="B26" s="4">
        <f t="shared" si="0"/>
        <v>13.479800000000001</v>
      </c>
      <c r="C26" s="4">
        <f t="shared" si="1"/>
        <v>181.70500804000002</v>
      </c>
      <c r="D26" s="4"/>
    </row>
    <row r="27" spans="1:12" ht="16" thickBot="1" x14ac:dyDescent="0.4">
      <c r="A27" s="1">
        <v>13.56</v>
      </c>
      <c r="B27" s="4">
        <f t="shared" si="0"/>
        <v>-1.0199999999999321E-2</v>
      </c>
      <c r="C27" s="4">
        <f t="shared" si="1"/>
        <v>1.0403999999998615E-4</v>
      </c>
      <c r="D27" s="4"/>
    </row>
    <row r="28" spans="1:12" ht="16" thickBot="1" x14ac:dyDescent="0.4">
      <c r="A28" s="1">
        <v>2.69</v>
      </c>
      <c r="B28" s="4">
        <f t="shared" si="0"/>
        <v>-10.8802</v>
      </c>
      <c r="C28" s="4">
        <f t="shared" si="1"/>
        <v>118.37875204000001</v>
      </c>
      <c r="D28" s="4"/>
    </row>
    <row r="29" spans="1:12" ht="16" thickBot="1" x14ac:dyDescent="0.4">
      <c r="A29" s="1">
        <v>14.26</v>
      </c>
      <c r="B29" s="4">
        <f t="shared" si="0"/>
        <v>0.68979999999999997</v>
      </c>
      <c r="C29" s="4">
        <f t="shared" si="1"/>
        <v>0.47582403999999995</v>
      </c>
      <c r="D29" s="4"/>
    </row>
    <row r="30" spans="1:12" ht="16" thickBot="1" x14ac:dyDescent="0.4">
      <c r="A30" s="1">
        <v>20.6</v>
      </c>
      <c r="B30" s="4">
        <f t="shared" si="0"/>
        <v>7.0298000000000016</v>
      </c>
      <c r="C30" s="4">
        <f t="shared" si="1"/>
        <v>49.418088040000022</v>
      </c>
      <c r="D30" s="4"/>
    </row>
    <row r="31" spans="1:12" ht="16" thickBot="1" x14ac:dyDescent="0.4">
      <c r="A31" s="1">
        <v>7.99</v>
      </c>
      <c r="B31" s="4">
        <f t="shared" si="0"/>
        <v>-5.5801999999999996</v>
      </c>
      <c r="C31" s="4">
        <f t="shared" si="1"/>
        <v>31.138632039999994</v>
      </c>
      <c r="D31" s="4"/>
    </row>
    <row r="32" spans="1:12" ht="16" thickBot="1" x14ac:dyDescent="0.4">
      <c r="A32" s="1">
        <v>39.76</v>
      </c>
      <c r="B32" s="4">
        <f t="shared" si="0"/>
        <v>26.189799999999998</v>
      </c>
      <c r="C32" s="4">
        <f t="shared" si="1"/>
        <v>685.90562403999991</v>
      </c>
      <c r="D32" s="4"/>
    </row>
    <row r="33" spans="1:4" ht="16" thickBot="1" x14ac:dyDescent="0.4">
      <c r="A33" s="1">
        <v>23.35</v>
      </c>
      <c r="B33" s="4">
        <f t="shared" si="0"/>
        <v>9.7798000000000016</v>
      </c>
      <c r="C33" s="4">
        <f t="shared" si="1"/>
        <v>95.644488040000027</v>
      </c>
      <c r="D33" s="4"/>
    </row>
    <row r="34" spans="1:4" ht="16" thickBot="1" x14ac:dyDescent="0.4">
      <c r="A34" s="1">
        <v>15.54</v>
      </c>
      <c r="B34" s="4">
        <f t="shared" si="0"/>
        <v>1.9697999999999993</v>
      </c>
      <c r="C34" s="4">
        <f t="shared" si="1"/>
        <v>3.8801120399999975</v>
      </c>
      <c r="D34" s="4"/>
    </row>
    <row r="35" spans="1:4" ht="16" thickBot="1" x14ac:dyDescent="0.4">
      <c r="A35" s="1">
        <v>22.48</v>
      </c>
      <c r="B35" s="4">
        <f t="shared" si="0"/>
        <v>8.9098000000000006</v>
      </c>
      <c r="C35" s="4">
        <f t="shared" si="1"/>
        <v>79.384536040000015</v>
      </c>
      <c r="D35" s="4"/>
    </row>
    <row r="36" spans="1:4" ht="16" thickBot="1" x14ac:dyDescent="0.4">
      <c r="A36" s="1">
        <v>15.14</v>
      </c>
      <c r="B36" s="4">
        <f t="shared" si="0"/>
        <v>1.5698000000000008</v>
      </c>
      <c r="C36" s="4">
        <f t="shared" si="1"/>
        <v>2.4642720400000022</v>
      </c>
      <c r="D36" s="4"/>
    </row>
    <row r="37" spans="1:4" ht="16" thickBot="1" x14ac:dyDescent="0.4">
      <c r="A37" s="1">
        <v>8.67</v>
      </c>
      <c r="B37" s="4">
        <f t="shared" si="0"/>
        <v>-4.9001999999999999</v>
      </c>
      <c r="C37" s="4">
        <f t="shared" si="1"/>
        <v>24.011960039999998</v>
      </c>
      <c r="D37" s="4"/>
    </row>
    <row r="38" spans="1:4" ht="16" thickBot="1" x14ac:dyDescent="0.4">
      <c r="A38" s="1">
        <v>16.04</v>
      </c>
      <c r="B38" s="4">
        <f t="shared" si="0"/>
        <v>2.4697999999999993</v>
      </c>
      <c r="C38" s="4">
        <f t="shared" si="1"/>
        <v>6.0999120399999969</v>
      </c>
      <c r="D38" s="4"/>
    </row>
    <row r="39" spans="1:4" ht="16" thickBot="1" x14ac:dyDescent="0.4">
      <c r="A39" s="1">
        <v>14.89</v>
      </c>
      <c r="B39" s="4">
        <f t="shared" si="0"/>
        <v>1.3198000000000008</v>
      </c>
      <c r="C39" s="4">
        <f t="shared" si="1"/>
        <v>1.7418720400000021</v>
      </c>
      <c r="D39" s="4"/>
    </row>
    <row r="40" spans="1:4" ht="16" thickBot="1" x14ac:dyDescent="0.4">
      <c r="A40" s="1">
        <v>2.37</v>
      </c>
      <c r="B40" s="4">
        <f t="shared" si="0"/>
        <v>-11.200199999999999</v>
      </c>
      <c r="C40" s="4">
        <f t="shared" si="1"/>
        <v>125.44448003999997</v>
      </c>
      <c r="D40" s="4"/>
    </row>
    <row r="41" spans="1:4" ht="16" thickBot="1" x14ac:dyDescent="0.4">
      <c r="A41" s="1">
        <v>8.9600000000000009</v>
      </c>
      <c r="B41" s="4">
        <f t="shared" si="0"/>
        <v>-4.610199999999999</v>
      </c>
      <c r="C41" s="4">
        <f t="shared" si="1"/>
        <v>21.25394403999999</v>
      </c>
      <c r="D41" s="4"/>
    </row>
    <row r="42" spans="1:4" ht="16" thickBot="1" x14ac:dyDescent="0.4">
      <c r="A42" s="1">
        <v>2.1800000000000002</v>
      </c>
      <c r="B42" s="4">
        <f t="shared" si="0"/>
        <v>-11.3902</v>
      </c>
      <c r="C42" s="4">
        <f t="shared" si="1"/>
        <v>129.73665604000001</v>
      </c>
      <c r="D42" s="4"/>
    </row>
    <row r="43" spans="1:4" ht="16" thickBot="1" x14ac:dyDescent="0.4">
      <c r="A43" s="1">
        <v>12.98</v>
      </c>
      <c r="B43" s="4">
        <f t="shared" si="0"/>
        <v>-0.59019999999999939</v>
      </c>
      <c r="C43" s="4">
        <f t="shared" si="1"/>
        <v>0.34833603999999929</v>
      </c>
      <c r="D43" s="4"/>
    </row>
    <row r="44" spans="1:4" ht="16" thickBot="1" x14ac:dyDescent="0.4">
      <c r="A44" s="1">
        <v>9.39</v>
      </c>
      <c r="B44" s="4">
        <f t="shared" si="0"/>
        <v>-4.1801999999999992</v>
      </c>
      <c r="C44" s="4">
        <f t="shared" si="1"/>
        <v>17.474072039999992</v>
      </c>
      <c r="D44" s="4"/>
    </row>
    <row r="45" spans="1:4" ht="16" thickBot="1" x14ac:dyDescent="0.4">
      <c r="A45" s="1">
        <v>2.4300000000000002</v>
      </c>
      <c r="B45" s="4">
        <f t="shared" si="0"/>
        <v>-11.1402</v>
      </c>
      <c r="C45" s="4">
        <f t="shared" si="1"/>
        <v>124.10405604</v>
      </c>
      <c r="D45" s="4"/>
    </row>
    <row r="46" spans="1:4" ht="16" thickBot="1" x14ac:dyDescent="0.4">
      <c r="A46" s="1">
        <v>14.6</v>
      </c>
      <c r="B46" s="4">
        <f t="shared" si="0"/>
        <v>1.0297999999999998</v>
      </c>
      <c r="C46" s="4">
        <f t="shared" si="1"/>
        <v>1.0604880399999996</v>
      </c>
      <c r="D46" s="4"/>
    </row>
    <row r="47" spans="1:4" ht="16" thickBot="1" x14ac:dyDescent="0.4">
      <c r="A47" s="1">
        <v>9.18</v>
      </c>
      <c r="B47" s="4">
        <f t="shared" si="0"/>
        <v>-4.3902000000000001</v>
      </c>
      <c r="C47" s="4">
        <f t="shared" si="1"/>
        <v>19.273856040000002</v>
      </c>
      <c r="D47" s="4"/>
    </row>
    <row r="48" spans="1:4" ht="16" thickBot="1" x14ac:dyDescent="0.4">
      <c r="A48" s="1">
        <v>15.78</v>
      </c>
      <c r="B48" s="4">
        <f t="shared" si="0"/>
        <v>2.2097999999999995</v>
      </c>
      <c r="C48" s="4">
        <f t="shared" si="1"/>
        <v>4.883216039999998</v>
      </c>
      <c r="D48" s="4"/>
    </row>
    <row r="49" spans="1:4" ht="16" thickBot="1" x14ac:dyDescent="0.4">
      <c r="A49" s="1">
        <v>13.01</v>
      </c>
      <c r="B49" s="4">
        <f t="shared" si="0"/>
        <v>-0.56020000000000003</v>
      </c>
      <c r="C49" s="4">
        <f t="shared" si="1"/>
        <v>0.31382404000000003</v>
      </c>
      <c r="D49" s="4"/>
    </row>
    <row r="50" spans="1:4" ht="16" thickBot="1" x14ac:dyDescent="0.4">
      <c r="A50" s="1">
        <v>13.08</v>
      </c>
      <c r="B50" s="4">
        <f t="shared" si="0"/>
        <v>-0.49019999999999975</v>
      </c>
      <c r="C50" s="4">
        <f t="shared" si="1"/>
        <v>0.24029603999999974</v>
      </c>
      <c r="D50" s="4"/>
    </row>
    <row r="51" spans="1:4" ht="15.5" x14ac:dyDescent="0.35">
      <c r="A51" s="2">
        <v>10.63</v>
      </c>
      <c r="B51" s="4">
        <f t="shared" si="0"/>
        <v>-2.940199999999999</v>
      </c>
      <c r="C51" s="4">
        <f t="shared" si="1"/>
        <v>8.6447760399999947</v>
      </c>
      <c r="D51" s="4"/>
    </row>
  </sheetData>
  <mergeCells count="8">
    <mergeCell ref="K13:K14"/>
    <mergeCell ref="L13:L14"/>
    <mergeCell ref="F15:G15"/>
    <mergeCell ref="F16:G16"/>
    <mergeCell ref="F17:G17"/>
    <mergeCell ref="F13:G14"/>
    <mergeCell ref="H13:I13"/>
    <mergeCell ref="J13:J14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637B5-BB8A-4865-A134-A54B6219171B}">
  <dimension ref="A1:I8"/>
  <sheetViews>
    <sheetView tabSelected="1" topLeftCell="F10" zoomScale="137" zoomScaleNormal="85" workbookViewId="0">
      <selection activeCell="T16" sqref="T16"/>
    </sheetView>
  </sheetViews>
  <sheetFormatPr defaultRowHeight="14.5" x14ac:dyDescent="0.35"/>
  <sheetData>
    <row r="1" spans="1:9" x14ac:dyDescent="0.35">
      <c r="A1" t="s">
        <v>14</v>
      </c>
      <c r="B1" t="s">
        <v>18</v>
      </c>
      <c r="C1" t="s">
        <v>16</v>
      </c>
      <c r="G1" t="s">
        <v>18</v>
      </c>
      <c r="H1" t="s">
        <v>16</v>
      </c>
      <c r="I1" t="s">
        <v>19</v>
      </c>
    </row>
    <row r="2" spans="1:9" x14ac:dyDescent="0.35">
      <c r="A2" t="s">
        <v>29</v>
      </c>
      <c r="B2">
        <v>3.45</v>
      </c>
      <c r="C2">
        <v>3.1578947368421054E-2</v>
      </c>
      <c r="G2">
        <v>3.45</v>
      </c>
      <c r="H2">
        <v>3.1578947368421054E-2</v>
      </c>
      <c r="I2">
        <v>2.3041217840828729E-2</v>
      </c>
    </row>
    <row r="3" spans="1:9" x14ac:dyDescent="0.35">
      <c r="A3" t="s">
        <v>30</v>
      </c>
      <c r="B3">
        <v>9.15</v>
      </c>
      <c r="C3">
        <v>3.8596491228070177E-2</v>
      </c>
      <c r="G3">
        <v>9.15</v>
      </c>
      <c r="H3">
        <v>3.8596491228070177E-2</v>
      </c>
      <c r="I3">
        <v>4.1187091379917933E-2</v>
      </c>
    </row>
    <row r="4" spans="1:9" x14ac:dyDescent="0.35">
      <c r="A4" t="s">
        <v>31</v>
      </c>
      <c r="B4">
        <v>14.85</v>
      </c>
      <c r="C4">
        <v>6.3157894736842107E-2</v>
      </c>
      <c r="G4">
        <v>14.85</v>
      </c>
      <c r="H4">
        <v>6.3157894736842107E-2</v>
      </c>
      <c r="I4">
        <v>4.6692022966775923E-2</v>
      </c>
    </row>
    <row r="5" spans="1:9" x14ac:dyDescent="0.35">
      <c r="A5" t="s">
        <v>32</v>
      </c>
      <c r="B5">
        <v>20.55</v>
      </c>
      <c r="C5">
        <v>2.456140350877193E-2</v>
      </c>
      <c r="G5">
        <v>20.55</v>
      </c>
      <c r="H5">
        <v>2.456140350877193E-2</v>
      </c>
      <c r="I5">
        <v>3.3569906487472975E-2</v>
      </c>
    </row>
    <row r="6" spans="1:9" x14ac:dyDescent="0.35">
      <c r="A6" t="s">
        <v>33</v>
      </c>
      <c r="B6">
        <v>26.25</v>
      </c>
      <c r="C6">
        <v>3.5087719298245615E-3</v>
      </c>
      <c r="G6">
        <v>26.25</v>
      </c>
      <c r="H6">
        <v>3.5087719298245615E-3</v>
      </c>
      <c r="I6">
        <v>1.5306766115347861E-2</v>
      </c>
    </row>
    <row r="7" spans="1:9" x14ac:dyDescent="0.35">
      <c r="A7" t="s">
        <v>34</v>
      </c>
      <c r="B7">
        <v>31.95</v>
      </c>
      <c r="C7">
        <v>0</v>
      </c>
      <c r="G7">
        <v>31.95</v>
      </c>
      <c r="H7">
        <v>0</v>
      </c>
      <c r="I7">
        <v>4.4263182367878691E-3</v>
      </c>
    </row>
    <row r="8" spans="1:9" x14ac:dyDescent="0.35">
      <c r="A8" t="s">
        <v>35</v>
      </c>
      <c r="B8">
        <v>37.65</v>
      </c>
      <c r="C8">
        <v>7.0175438596491229E-3</v>
      </c>
      <c r="G8">
        <v>37.65</v>
      </c>
      <c r="H8">
        <v>7.0175438596491229E-3</v>
      </c>
      <c r="I8">
        <v>8.1176009361727855E-4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Зыков</dc:creator>
  <cp:lastModifiedBy>Prosto Svetochka</cp:lastModifiedBy>
  <dcterms:created xsi:type="dcterms:W3CDTF">2025-09-06T17:06:07Z</dcterms:created>
  <dcterms:modified xsi:type="dcterms:W3CDTF">2025-09-10T22:10:10Z</dcterms:modified>
</cp:coreProperties>
</file>