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документы\"/>
    </mc:Choice>
  </mc:AlternateContent>
  <xr:revisionPtr revIDLastSave="0" documentId="8_{6B7531A7-8802-4C94-94A8-0A98326AC1A9}" xr6:coauthVersionLast="47" xr6:coauthVersionMax="47" xr10:uidLastSave="{00000000-0000-0000-0000-000000000000}"/>
  <bookViews>
    <workbookView xWindow="0" yWindow="0" windowWidth="11520" windowHeight="12960" xr2:uid="{AB15B664-08FB-460B-8A13-84F9A5C38C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4" i="1" l="1"/>
  <c r="X24" i="1"/>
  <c r="Y22" i="1"/>
  <c r="X22" i="1"/>
  <c r="W22" i="1"/>
  <c r="V23" i="1"/>
  <c r="V24" i="1"/>
  <c r="V25" i="1"/>
  <c r="V26" i="1"/>
  <c r="V27" i="1"/>
  <c r="V28" i="1"/>
  <c r="V22" i="1"/>
  <c r="S23" i="1"/>
  <c r="S24" i="1"/>
  <c r="S25" i="1"/>
  <c r="S26" i="1"/>
  <c r="S27" i="1"/>
  <c r="S28" i="1"/>
  <c r="S22" i="1"/>
  <c r="U23" i="1"/>
  <c r="U24" i="1"/>
  <c r="U25" i="1"/>
  <c r="U26" i="1"/>
  <c r="U27" i="1"/>
  <c r="U28" i="1"/>
  <c r="U22" i="1"/>
  <c r="E22" i="1"/>
  <c r="P22" i="1"/>
  <c r="Y14" i="1"/>
  <c r="X14" i="1"/>
  <c r="Y4" i="1"/>
  <c r="X4" i="1"/>
  <c r="Y12" i="1"/>
  <c r="X12" i="1"/>
  <c r="W12" i="1"/>
  <c r="V13" i="1"/>
  <c r="V14" i="1"/>
  <c r="V15" i="1"/>
  <c r="V16" i="1"/>
  <c r="V17" i="1"/>
  <c r="V18" i="1"/>
  <c r="V12" i="1"/>
  <c r="P12" i="1"/>
  <c r="P2" i="1"/>
  <c r="V5" i="1" s="1"/>
  <c r="S13" i="1"/>
  <c r="S14" i="1"/>
  <c r="S15" i="1"/>
  <c r="S16" i="1"/>
  <c r="S17" i="1"/>
  <c r="S18" i="1"/>
  <c r="S12" i="1"/>
  <c r="U13" i="1"/>
  <c r="U14" i="1"/>
  <c r="U15" i="1"/>
  <c r="U16" i="1"/>
  <c r="U17" i="1"/>
  <c r="U18" i="1"/>
  <c r="U12" i="1"/>
  <c r="U2" i="1"/>
  <c r="S2" i="1"/>
  <c r="S3" i="1"/>
  <c r="S4" i="1"/>
  <c r="S5" i="1"/>
  <c r="S6" i="1"/>
  <c r="S7" i="1"/>
  <c r="S8" i="1"/>
  <c r="V3" i="1"/>
  <c r="W2" i="1" s="1"/>
  <c r="V4" i="1"/>
  <c r="V6" i="1"/>
  <c r="V7" i="1"/>
  <c r="V8" i="1"/>
  <c r="V2" i="1"/>
  <c r="U3" i="1"/>
  <c r="U4" i="1"/>
  <c r="U5" i="1"/>
  <c r="U6" i="1"/>
  <c r="U7" i="1"/>
  <c r="U8" i="1"/>
  <c r="R2" i="1"/>
  <c r="T22" i="1"/>
  <c r="T12" i="1"/>
  <c r="T2" i="1"/>
  <c r="R13" i="1"/>
  <c r="R14" i="1"/>
  <c r="R15" i="1"/>
  <c r="R16" i="1"/>
  <c r="R17" i="1"/>
  <c r="R18" i="1"/>
  <c r="R12" i="1"/>
  <c r="R3" i="1"/>
  <c r="R4" i="1"/>
  <c r="R5" i="1"/>
  <c r="R6" i="1"/>
  <c r="R7" i="1"/>
  <c r="R8" i="1"/>
  <c r="N22" i="1"/>
  <c r="N12" i="1"/>
  <c r="N2" i="1"/>
  <c r="M2" i="1"/>
  <c r="M12" i="1"/>
  <c r="M22" i="1"/>
  <c r="L22" i="1"/>
  <c r="L12" i="1"/>
  <c r="L2" i="1"/>
  <c r="D32" i="1"/>
  <c r="C32" i="1"/>
  <c r="B32" i="1"/>
  <c r="A30" i="1"/>
  <c r="A20" i="1"/>
  <c r="A10" i="1"/>
  <c r="H22" i="1" a="1"/>
  <c r="H22" i="1" s="1"/>
  <c r="J22" i="1" s="1"/>
  <c r="K12" i="1"/>
  <c r="J12" i="1"/>
  <c r="H12" i="1" a="1"/>
  <c r="H12" i="1" s="1"/>
  <c r="K2" i="1"/>
  <c r="J2" i="1"/>
  <c r="H2" i="1" a="1"/>
  <c r="H2" i="1" s="1"/>
  <c r="G23" i="1"/>
  <c r="G24" i="1"/>
  <c r="G25" i="1"/>
  <c r="G26" i="1"/>
  <c r="G27" i="1"/>
  <c r="G28" i="1"/>
  <c r="G22" i="1"/>
  <c r="G13" i="1"/>
  <c r="G14" i="1"/>
  <c r="G15" i="1"/>
  <c r="G16" i="1"/>
  <c r="G17" i="1"/>
  <c r="G18" i="1"/>
  <c r="G12" i="1"/>
  <c r="G3" i="1"/>
  <c r="G4" i="1"/>
  <c r="G5" i="1"/>
  <c r="G6" i="1"/>
  <c r="G7" i="1"/>
  <c r="G8" i="1"/>
  <c r="G2" i="1"/>
  <c r="F23" i="1"/>
  <c r="F24" i="1"/>
  <c r="F25" i="1"/>
  <c r="F26" i="1"/>
  <c r="F27" i="1"/>
  <c r="F28" i="1"/>
  <c r="F22" i="1"/>
  <c r="F13" i="1"/>
  <c r="F14" i="1"/>
  <c r="F15" i="1"/>
  <c r="F16" i="1"/>
  <c r="F17" i="1"/>
  <c r="F18" i="1"/>
  <c r="F12" i="1"/>
  <c r="F3" i="1"/>
  <c r="F4" i="1"/>
  <c r="F5" i="1"/>
  <c r="F6" i="1"/>
  <c r="F7" i="1"/>
  <c r="F8" i="1"/>
  <c r="F2" i="1"/>
  <c r="E23" i="1"/>
  <c r="E24" i="1"/>
  <c r="E25" i="1"/>
  <c r="E26" i="1"/>
  <c r="E27" i="1"/>
  <c r="E28" i="1"/>
  <c r="E13" i="1"/>
  <c r="E14" i="1"/>
  <c r="E15" i="1"/>
  <c r="E16" i="1"/>
  <c r="E17" i="1"/>
  <c r="E18" i="1"/>
  <c r="E12" i="1"/>
  <c r="E3" i="1"/>
  <c r="E4" i="1"/>
  <c r="E5" i="1"/>
  <c r="E6" i="1"/>
  <c r="E7" i="1"/>
  <c r="E8" i="1"/>
  <c r="E2" i="1"/>
  <c r="D23" i="1"/>
  <c r="D24" i="1"/>
  <c r="D25" i="1"/>
  <c r="D26" i="1"/>
  <c r="D27" i="1"/>
  <c r="D28" i="1"/>
  <c r="D22" i="1"/>
  <c r="D13" i="1"/>
  <c r="D14" i="1"/>
  <c r="D15" i="1"/>
  <c r="D16" i="1"/>
  <c r="D17" i="1"/>
  <c r="D18" i="1"/>
  <c r="D12" i="1"/>
  <c r="D3" i="1"/>
  <c r="D4" i="1"/>
  <c r="D5" i="1"/>
  <c r="D6" i="1"/>
  <c r="D7" i="1"/>
  <c r="D8" i="1"/>
  <c r="D2" i="1"/>
  <c r="A32" i="1"/>
  <c r="C28" i="1"/>
  <c r="C27" i="1"/>
  <c r="C26" i="1"/>
  <c r="C25" i="1"/>
  <c r="C24" i="1"/>
  <c r="C23" i="1"/>
  <c r="C22" i="1"/>
  <c r="C18" i="1"/>
  <c r="C17" i="1"/>
  <c r="C16" i="1"/>
  <c r="C15" i="1"/>
  <c r="C14" i="1"/>
  <c r="C12" i="1"/>
  <c r="I16" i="1"/>
  <c r="H16" i="1"/>
  <c r="I15" i="1"/>
  <c r="H15" i="1"/>
  <c r="I14" i="1"/>
  <c r="H14" i="1"/>
  <c r="I13" i="1"/>
  <c r="H13" i="1"/>
  <c r="I12" i="1"/>
  <c r="I6" i="1"/>
  <c r="H6" i="1"/>
  <c r="I5" i="1"/>
  <c r="H5" i="1"/>
  <c r="I4" i="1"/>
  <c r="H4" i="1"/>
  <c r="I3" i="1"/>
  <c r="H3" i="1"/>
  <c r="I2" i="1"/>
  <c r="H25" i="1" l="1"/>
  <c r="I25" i="1"/>
  <c r="H26" i="1"/>
  <c r="I22" i="1"/>
  <c r="R23" i="1" s="1"/>
  <c r="I26" i="1"/>
  <c r="H23" i="1"/>
  <c r="K22" i="1" s="1"/>
  <c r="I23" i="1"/>
  <c r="H24" i="1"/>
  <c r="I24" i="1"/>
  <c r="Y2" i="1"/>
  <c r="X2" i="1"/>
  <c r="R24" i="1" l="1"/>
  <c r="R28" i="1"/>
  <c r="R25" i="1"/>
  <c r="R22" i="1"/>
  <c r="R26" i="1"/>
  <c r="R2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<sst xmlns="http://schemas.openxmlformats.org/spreadsheetml/2006/main" count="79" uniqueCount="32">
  <si>
    <t>№</t>
  </si>
  <si>
    <t>T</t>
  </si>
  <si>
    <t>cos α</t>
  </si>
  <si>
    <t>T^2</t>
  </si>
  <si>
    <t>g_эфф</t>
  </si>
  <si>
    <t>g</t>
  </si>
  <si>
    <t xml:space="preserve">4π^2/g_эфф </t>
  </si>
  <si>
    <t>k</t>
  </si>
  <si>
    <t>I</t>
  </si>
  <si>
    <t>l</t>
  </si>
  <si>
    <t>mст</t>
  </si>
  <si>
    <t>mгр</t>
  </si>
  <si>
    <t>lст</t>
  </si>
  <si>
    <t>a</t>
  </si>
  <si>
    <t>lпр</t>
  </si>
  <si>
    <t>Δk</t>
  </si>
  <si>
    <t>2/3l</t>
  </si>
  <si>
    <t>1/3l</t>
  </si>
  <si>
    <t>1/2l</t>
  </si>
  <si>
    <t>x</t>
  </si>
  <si>
    <t>y</t>
  </si>
  <si>
    <t>El</t>
  </si>
  <si>
    <t>di</t>
  </si>
  <si>
    <t>(xi - x_ср)^2</t>
  </si>
  <si>
    <t>x_ср</t>
  </si>
  <si>
    <t>D</t>
  </si>
  <si>
    <t>Sb</t>
  </si>
  <si>
    <t>di^2</t>
  </si>
  <si>
    <t>Sb^2</t>
  </si>
  <si>
    <t>Sa^2</t>
  </si>
  <si>
    <t>Sa</t>
  </si>
  <si>
    <t>х_ср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</si>
</sst>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63820230687653E-2"/>
          <c:y val="4.8425880950005072E-2"/>
          <c:w val="0.7692218514932192"/>
          <c:h val="0.9031482380999899"/>
        </c:manualLayout>
      </c:layout>
      <c:scatterChart>
        <c:scatterStyle val="lineMarker"/>
        <c:varyColors val="0"/>
        <c:ser>
          <c:idx val="0"/>
          <c:order val="0"/>
          <c:tx>
            <c:v>l/3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Лист1!$G$2:$G$8</c:f>
              <c:numCache>
                <c:formatCode>General</c:formatCode>
                <c:ptCount val="7"/>
                <c:pt idx="0">
                  <c:v>4.0202054586922031</c:v>
                </c:pt>
                <c:pt idx="1">
                  <c:v>4.0822236080044005</c:v>
                </c:pt>
                <c:pt idx="2">
                  <c:v>4.2782132899265708</c:v>
                </c:pt>
                <c:pt idx="3">
                  <c:v>4.6421334075470924</c:v>
                </c:pt>
                <c:pt idx="4">
                  <c:v>5.2480055103902181</c:v>
                </c:pt>
                <c:pt idx="5">
                  <c:v>6.2543294209617528</c:v>
                </c:pt>
                <c:pt idx="6">
                  <c:v>8.0404109173844045</c:v>
                </c:pt>
              </c:numCache>
            </c:numRef>
          </c:xVal>
          <c:yVal>
            <c:numRef>
              <c:f>Лист1!$E$2:$E$8</c:f>
              <c:numCache>
                <c:formatCode>General</c:formatCode>
                <c:ptCount val="7"/>
                <c:pt idx="0">
                  <c:v>0.12320099999999999</c:v>
                </c:pt>
                <c:pt idx="1">
                  <c:v>0.1024</c:v>
                </c:pt>
                <c:pt idx="2">
                  <c:v>0.17305599999999999</c:v>
                </c:pt>
                <c:pt idx="3">
                  <c:v>0.28408900000000004</c:v>
                </c:pt>
                <c:pt idx="4">
                  <c:v>0.28302400000000005</c:v>
                </c:pt>
                <c:pt idx="5">
                  <c:v>0.22562499999999999</c:v>
                </c:pt>
                <c:pt idx="6">
                  <c:v>0.36120099999999999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94-4955-BA78-A170773D80A9}"/>
            </c:ext>
          </c:extLst>
        </c:ser>
        <c:ser>
          <c:idx val="1"/>
          <c:order val="1"/>
          <c:tx>
            <c:v>2l/3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Лист1!$G$12:$G$18</c:f>
              <c:numCache>
                <c:formatCode>General</c:formatCode>
                <c:ptCount val="7"/>
                <c:pt idx="0">
                  <c:v>4.0202054586922031</c:v>
                </c:pt>
                <c:pt idx="1">
                  <c:v>4.0822236080044005</c:v>
                </c:pt>
                <c:pt idx="2">
                  <c:v>4.2782132899265708</c:v>
                </c:pt>
                <c:pt idx="3">
                  <c:v>4.6421334075470924</c:v>
                </c:pt>
                <c:pt idx="4">
                  <c:v>5.2480055103902181</c:v>
                </c:pt>
                <c:pt idx="5">
                  <c:v>6.2543294209617528</c:v>
                </c:pt>
                <c:pt idx="6">
                  <c:v>8.0404109173844045</c:v>
                </c:pt>
              </c:numCache>
            </c:numRef>
          </c:xVal>
          <c:yVal>
            <c:numRef>
              <c:f>Лист1!$E$12:$E$18</c:f>
              <c:numCache>
                <c:formatCode>General</c:formatCode>
                <c:ptCount val="7"/>
                <c:pt idx="0">
                  <c:v>8.7615999999999986E-2</c:v>
                </c:pt>
                <c:pt idx="1">
                  <c:v>0.10368400000000001</c:v>
                </c:pt>
                <c:pt idx="2">
                  <c:v>7.7284000000000019E-2</c:v>
                </c:pt>
                <c:pt idx="3">
                  <c:v>9.8596000000000003E-2</c:v>
                </c:pt>
                <c:pt idx="4">
                  <c:v>0.12460899999999998</c:v>
                </c:pt>
                <c:pt idx="5">
                  <c:v>0.13322499999999998</c:v>
                </c:pt>
                <c:pt idx="6">
                  <c:v>0.148225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94-4955-BA78-A170773D80A9}"/>
            </c:ext>
          </c:extLst>
        </c:ser>
        <c:ser>
          <c:idx val="2"/>
          <c:order val="2"/>
          <c:tx>
            <c:v>l/2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Лист1!$G$22:$G$28</c:f>
              <c:numCache>
                <c:formatCode>General</c:formatCode>
                <c:ptCount val="7"/>
                <c:pt idx="0">
                  <c:v>4.0202054586922031</c:v>
                </c:pt>
                <c:pt idx="1">
                  <c:v>4.0822236080044005</c:v>
                </c:pt>
                <c:pt idx="2">
                  <c:v>4.2782132899265708</c:v>
                </c:pt>
                <c:pt idx="3">
                  <c:v>4.6421334075470924</c:v>
                </c:pt>
                <c:pt idx="4">
                  <c:v>5.2480055103902181</c:v>
                </c:pt>
                <c:pt idx="5">
                  <c:v>6.2543294209617528</c:v>
                </c:pt>
                <c:pt idx="6">
                  <c:v>8.0404109173844045</c:v>
                </c:pt>
              </c:numCache>
            </c:numRef>
          </c:xVal>
          <c:yVal>
            <c:numRef>
              <c:f>Лист1!$E$22:$E$28</c:f>
              <c:numCache>
                <c:formatCode>General</c:formatCode>
                <c:ptCount val="7"/>
                <c:pt idx="0">
                  <c:v>0.11088900000000002</c:v>
                </c:pt>
                <c:pt idx="1">
                  <c:v>0.15366400000000002</c:v>
                </c:pt>
                <c:pt idx="2">
                  <c:v>0.147456</c:v>
                </c:pt>
                <c:pt idx="3">
                  <c:v>0.18404099999999998</c:v>
                </c:pt>
                <c:pt idx="4">
                  <c:v>0.25100099999999997</c:v>
                </c:pt>
                <c:pt idx="5">
                  <c:v>0.24502499999999999</c:v>
                </c:pt>
                <c:pt idx="6">
                  <c:v>0.140625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94-4955-BA78-A170773D8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830032"/>
        <c:axId val="440834352"/>
      </c:scatterChart>
      <c:scatterChart>
        <c:scatterStyle val="lineMarker"/>
        <c:varyColors val="0"/>
        <c:ser>
          <c:idx val="3"/>
          <c:order val="3"/>
          <c:tx>
            <c:v>прямая l/3 y=0,051x-0,045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Лист1!$Q$2:$Q$8</c:f>
              <c:numCache>
                <c:formatCode>General</c:formatCode>
                <c:ptCount val="7"/>
                <c:pt idx="0">
                  <c:v>4.0202054586922031</c:v>
                </c:pt>
                <c:pt idx="1">
                  <c:v>4.0822236080044005</c:v>
                </c:pt>
                <c:pt idx="2">
                  <c:v>4.2782132899265708</c:v>
                </c:pt>
                <c:pt idx="3">
                  <c:v>4.6421334075470924</c:v>
                </c:pt>
                <c:pt idx="4">
                  <c:v>5.2480055103902181</c:v>
                </c:pt>
                <c:pt idx="5">
                  <c:v>6.2543294209617528</c:v>
                </c:pt>
                <c:pt idx="6">
                  <c:v>8.0404109173844045</c:v>
                </c:pt>
              </c:numCache>
            </c:numRef>
          </c:xVal>
          <c:yVal>
            <c:numRef>
              <c:f>Лист1!$R$2:$R$8</c:f>
              <c:numCache>
                <c:formatCode>General</c:formatCode>
                <c:ptCount val="7"/>
                <c:pt idx="0">
                  <c:v>0.16033953893725186</c:v>
                </c:pt>
                <c:pt idx="1">
                  <c:v>0.16350681530559555</c:v>
                </c:pt>
                <c:pt idx="2">
                  <c:v>0.17351603832943061</c:v>
                </c:pt>
                <c:pt idx="3">
                  <c:v>0.19210149438201293</c:v>
                </c:pt>
                <c:pt idx="4">
                  <c:v>0.2230434753159122</c:v>
                </c:pt>
                <c:pt idx="5">
                  <c:v>0.27443659130213161</c:v>
                </c:pt>
                <c:pt idx="6">
                  <c:v>0.36565204642766547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94-4955-BA78-A170773D80A9}"/>
            </c:ext>
          </c:extLst>
        </c:ser>
        <c:ser>
          <c:idx val="4"/>
          <c:order val="4"/>
          <c:tx>
            <c:v>прямая 2l/3 y=0,016x+0,0285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Лист1!$Q$12:$Q$18</c:f>
              <c:numCache>
                <c:formatCode>General</c:formatCode>
                <c:ptCount val="7"/>
                <c:pt idx="0">
                  <c:v>4.0202054586922031</c:v>
                </c:pt>
                <c:pt idx="1">
                  <c:v>4.0822236080044005</c:v>
                </c:pt>
                <c:pt idx="2">
                  <c:v>4.2782132899265708</c:v>
                </c:pt>
                <c:pt idx="3">
                  <c:v>4.6421334075470924</c:v>
                </c:pt>
                <c:pt idx="4">
                  <c:v>5.2480055103902181</c:v>
                </c:pt>
                <c:pt idx="5">
                  <c:v>6.2543294209617528</c:v>
                </c:pt>
                <c:pt idx="6">
                  <c:v>8.0404109173844045</c:v>
                </c:pt>
              </c:numCache>
            </c:numRef>
          </c:xVal>
          <c:yVal>
            <c:numRef>
              <c:f>Лист1!$R$12:$R$18</c:f>
              <c:numCache>
                <c:formatCode>General</c:formatCode>
                <c:ptCount val="7"/>
                <c:pt idx="0">
                  <c:v>9.1579371839290546E-2</c:v>
                </c:pt>
                <c:pt idx="1">
                  <c:v>9.2552506751212682E-2</c:v>
                </c:pt>
                <c:pt idx="2">
                  <c:v>9.5627806546033714E-2</c:v>
                </c:pt>
                <c:pt idx="3">
                  <c:v>0.10133812482439117</c:v>
                </c:pt>
                <c:pt idx="4">
                  <c:v>0.1108449434246742</c:v>
                </c:pt>
                <c:pt idx="5">
                  <c:v>0.12663530384238786</c:v>
                </c:pt>
                <c:pt idx="6">
                  <c:v>0.15466094277200987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D94-4955-BA78-A170773D80A9}"/>
            </c:ext>
          </c:extLst>
        </c:ser>
        <c:ser>
          <c:idx val="5"/>
          <c:order val="5"/>
          <c:tx>
            <c:v>прямая l/2 y=0,008x+13606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Лист1!$Q$22:$Q$28</c:f>
              <c:numCache>
                <c:formatCode>General</c:formatCode>
                <c:ptCount val="7"/>
                <c:pt idx="0">
                  <c:v>4.0202054586922031</c:v>
                </c:pt>
                <c:pt idx="1">
                  <c:v>4.0822236080044005</c:v>
                </c:pt>
                <c:pt idx="2">
                  <c:v>4.2782132899265708</c:v>
                </c:pt>
                <c:pt idx="3">
                  <c:v>4.6421334075470924</c:v>
                </c:pt>
                <c:pt idx="4">
                  <c:v>5.2480055103902181</c:v>
                </c:pt>
                <c:pt idx="5">
                  <c:v>6.2543294209617528</c:v>
                </c:pt>
                <c:pt idx="6">
                  <c:v>8.0404109173844045</c:v>
                </c:pt>
              </c:numCache>
            </c:numRef>
          </c:xVal>
          <c:yVal>
            <c:numRef>
              <c:f>Лист1!$R$22:$R$28</c:f>
              <c:numCache>
                <c:formatCode>General</c:formatCode>
                <c:ptCount val="7"/>
                <c:pt idx="0">
                  <c:v>0.16687611595318944</c:v>
                </c:pt>
                <c:pt idx="1">
                  <c:v>0.16735146731824643</c:v>
                </c:pt>
                <c:pt idx="2">
                  <c:v>0.16885367213848068</c:v>
                </c:pt>
                <c:pt idx="3">
                  <c:v>0.17164301568712143</c:v>
                </c:pt>
                <c:pt idx="4">
                  <c:v>0.1762868519565115</c:v>
                </c:pt>
                <c:pt idx="5">
                  <c:v>0.18400003672395168</c:v>
                </c:pt>
                <c:pt idx="6">
                  <c:v>0.19768984022249897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D94-4955-BA78-A170773D8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015792"/>
        <c:axId val="572015432"/>
      </c:scatterChart>
      <c:valAx>
        <c:axId val="44083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834352"/>
        <c:crosses val="autoZero"/>
        <c:crossBetween val="midCat"/>
      </c:valAx>
      <c:valAx>
        <c:axId val="44083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830032"/>
        <c:crosses val="autoZero"/>
        <c:crossBetween val="midCat"/>
      </c:valAx>
      <c:valAx>
        <c:axId val="5720154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015792"/>
        <c:crosses val="max"/>
        <c:crossBetween val="midCat"/>
      </c:valAx>
      <c:valAx>
        <c:axId val="57201579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015432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95250</xdr:colOff>
      <xdr:row>0</xdr:row>
      <xdr:rowOff>180975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90888E77-49D5-888A-3411-A8A5223B0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952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95250</xdr:colOff>
      <xdr:row>10</xdr:row>
      <xdr:rowOff>180975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A491829D-D516-4405-A639-F4D32B552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952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95250</xdr:colOff>
      <xdr:row>20</xdr:row>
      <xdr:rowOff>180975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C491AA9-8DFD-44C5-85D3-0C699F87F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952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605117</xdr:colOff>
      <xdr:row>5</xdr:row>
      <xdr:rowOff>14941</xdr:rowOff>
    </xdr:from>
    <xdr:to>
      <xdr:col>43</xdr:col>
      <xdr:colOff>201342</xdr:colOff>
      <xdr:row>35</xdr:row>
      <xdr:rowOff>181427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061AB2-A6F1-B961-4E85-D452E9CC6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58CA-D678-4770-9A83-863D6D6EA572}">
  <dimension ref="A1:AL32"/>
  <sheetViews>
    <sheetView tabSelected="1" topLeftCell="O2" zoomScale="82" zoomScaleNormal="115" workbookViewId="0">
      <selection activeCell="Y22" sqref="Y22"/>
    </sheetView>
  </sheetViews>
  <sheetFormatPr defaultColWidth="9.21875" defaultRowHeight="15.6" x14ac:dyDescent="0.3"/>
  <cols>
    <col min="1" max="6" width="9.21875" style="1"/>
    <col min="7" max="7" width="13.21875" style="1" customWidth="1"/>
    <col min="8" max="8" width="14" style="1" customWidth="1"/>
    <col min="9" max="9" width="9.21875" style="1"/>
    <col min="10" max="10" width="21.44140625" style="1" customWidth="1"/>
    <col min="11" max="11" width="23.77734375" style="1" customWidth="1"/>
    <col min="12" max="12" width="9.21875" style="1"/>
    <col min="13" max="14" width="12" style="1" customWidth="1"/>
    <col min="15" max="18" width="9.21875" style="1"/>
    <col min="19" max="19" width="13.6640625" style="1" bestFit="1" customWidth="1"/>
    <col min="20" max="21" width="9.21875" style="1"/>
    <col min="22" max="22" width="12.109375" style="1" customWidth="1"/>
    <col min="23" max="23" width="9.21875" style="1"/>
    <col min="24" max="24" width="13.6640625" style="1" bestFit="1" customWidth="1"/>
    <col min="25" max="38" width="9.21875" style="1"/>
    <col min="39" max="16384" width="9.21875" style="2"/>
  </cols>
  <sheetData>
    <row r="1" spans="1:25" x14ac:dyDescent="0.3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J1" s="1" t="s">
        <v>7</v>
      </c>
      <c r="K1" s="1" t="s">
        <v>15</v>
      </c>
      <c r="L1" s="1" t="s">
        <v>8</v>
      </c>
      <c r="M1" s="1" t="s">
        <v>13</v>
      </c>
      <c r="N1" s="1" t="s">
        <v>14</v>
      </c>
      <c r="P1" s="1" t="s">
        <v>24</v>
      </c>
      <c r="Q1" s="1" t="s">
        <v>19</v>
      </c>
      <c r="R1" s="1" t="s">
        <v>20</v>
      </c>
      <c r="S1" s="1" t="s">
        <v>27</v>
      </c>
      <c r="T1" s="1" t="s">
        <v>21</v>
      </c>
      <c r="U1" s="1" t="s">
        <v>22</v>
      </c>
      <c r="V1" s="1" t="s">
        <v>23</v>
      </c>
      <c r="W1" s="1" t="s">
        <v>25</v>
      </c>
      <c r="X1" s="1" t="s">
        <v>28</v>
      </c>
      <c r="Y1" s="1" t="s">
        <v>29</v>
      </c>
    </row>
    <row r="2" spans="1:25" x14ac:dyDescent="0.3">
      <c r="A2" s="1">
        <v>1</v>
      </c>
      <c r="B2" s="1">
        <v>0</v>
      </c>
      <c r="C2" s="1">
        <v>0.35099999999999998</v>
      </c>
      <c r="D2" s="1">
        <f>COS(B2/180*PI())</f>
        <v>1</v>
      </c>
      <c r="E2" s="1">
        <f>C2^2</f>
        <v>0.12320099999999999</v>
      </c>
      <c r="F2" s="1">
        <f>$A$32*D2</f>
        <v>9.82</v>
      </c>
      <c r="G2" s="1">
        <f>4 * PI()^2 / F2</f>
        <v>4.0202054586922031</v>
      </c>
      <c r="H2" s="1" cm="1">
        <f t="array" ref="H2:I6">LINEST(E2:E8,G2:G8,1,1)</f>
        <v>5.1070152906364907E-2</v>
      </c>
      <c r="I2" s="1">
        <v>-4.4972968553161824E-2</v>
      </c>
      <c r="J2" s="1">
        <f>H2</f>
        <v>5.1070152906364907E-2</v>
      </c>
      <c r="K2" s="1">
        <f>H3</f>
        <v>1.7367149839573701E-2</v>
      </c>
      <c r="L2" s="1">
        <f>1/3 * B32 * D32^2 + C32* A10^2</f>
        <v>5.7817860000000006E-3</v>
      </c>
      <c r="M2" s="1">
        <f>(B32*D32/2 + C32*A10)/(B32+C32)</f>
        <v>0.21328889966068834</v>
      </c>
      <c r="N2" s="1">
        <f>L2/(B32+C32)/M2</f>
        <v>0.21899957955978772</v>
      </c>
      <c r="O2" s="1" t="s">
        <v>17</v>
      </c>
      <c r="P2" s="1">
        <f>AVERAGE(G2:G8)</f>
        <v>5.2236459447009489</v>
      </c>
      <c r="Q2" s="1">
        <v>4.0202054586922031</v>
      </c>
      <c r="R2" s="1">
        <f>$J$2*Q2+$I$2</f>
        <v>0.16033953893725186</v>
      </c>
      <c r="S2" s="1">
        <f>U2^2</f>
        <v>1.3792710743937733E-3</v>
      </c>
      <c r="T2" s="1">
        <f>A10/N2</f>
        <v>1.0045681386339793</v>
      </c>
      <c r="U2" s="1">
        <f>E2-($I$2+$H$2*G2)</f>
        <v>-3.7138538937251872E-2</v>
      </c>
      <c r="V2" s="1">
        <f>(G2-$P$2)^2</f>
        <v>1.4482690033649661</v>
      </c>
      <c r="W2" s="1">
        <f>SUM(V2:V8)</f>
        <v>12.980180417669672</v>
      </c>
      <c r="X2" s="1">
        <f>1 / W2 * SUM(S2:S8)/5</f>
        <v>3.0161789355020487E-4</v>
      </c>
      <c r="Y2" s="1">
        <f>(1/7 +P2^2/W2) * SUM(S2:S8)/5</f>
        <v>8.7893832268199131E-3</v>
      </c>
    </row>
    <row r="3" spans="1:25" x14ac:dyDescent="0.3">
      <c r="A3" s="1">
        <v>2</v>
      </c>
      <c r="B3" s="1">
        <v>10</v>
      </c>
      <c r="C3" s="1">
        <v>0.32</v>
      </c>
      <c r="D3" s="1">
        <f t="shared" ref="D3:D8" si="0">COS(B3/180*PI())</f>
        <v>0.98480775301220802</v>
      </c>
      <c r="E3" s="1">
        <f t="shared" ref="E3:E8" si="1">C3^2</f>
        <v>0.1024</v>
      </c>
      <c r="F3" s="1">
        <f t="shared" ref="F3:F8" si="2">$A$32*D3</f>
        <v>9.670812134579883</v>
      </c>
      <c r="G3" s="1">
        <f t="shared" ref="G3:G8" si="3">4 * PI()^2 / F3</f>
        <v>4.0822236080044005</v>
      </c>
      <c r="H3" s="1">
        <v>1.7367149839573701E-2</v>
      </c>
      <c r="I3" s="1">
        <v>9.3751710527434709E-2</v>
      </c>
      <c r="Q3" s="1">
        <v>4.0822236080044005</v>
      </c>
      <c r="R3" s="1">
        <f t="shared" ref="R3:R8" si="4">$J$2*Q3+$I$2</f>
        <v>0.16350681530559555</v>
      </c>
      <c r="S3" s="1">
        <f t="shared" ref="S3:S8" si="5">U3^2</f>
        <v>3.7340428767921657E-3</v>
      </c>
      <c r="U3" s="1">
        <f t="shared" ref="U3:U8" si="6">E3-($I$2+$H$2*G3)</f>
        <v>-6.1106815305595544E-2</v>
      </c>
      <c r="V3" s="1">
        <f t="shared" ref="V3:V8" si="7">(G3-$P$2)^2</f>
        <v>1.3028449507098085</v>
      </c>
      <c r="X3" s="1" t="s">
        <v>26</v>
      </c>
      <c r="Y3" s="1" t="s">
        <v>30</v>
      </c>
    </row>
    <row r="4" spans="1:25" x14ac:dyDescent="0.3">
      <c r="A4" s="1">
        <v>3</v>
      </c>
      <c r="B4" s="1">
        <v>20</v>
      </c>
      <c r="C4" s="1">
        <v>0.41599999999999998</v>
      </c>
      <c r="D4" s="1">
        <f t="shared" si="0"/>
        <v>0.93969262078590843</v>
      </c>
      <c r="E4" s="1">
        <f t="shared" si="1"/>
        <v>0.17305599999999999</v>
      </c>
      <c r="F4" s="1">
        <f t="shared" si="2"/>
        <v>9.2277815361176216</v>
      </c>
      <c r="G4" s="1">
        <f t="shared" si="3"/>
        <v>4.2782132899265708</v>
      </c>
      <c r="H4" s="1">
        <v>0.63362539374050697</v>
      </c>
      <c r="I4" s="1">
        <v>6.2570397757079538E-2</v>
      </c>
      <c r="Q4" s="1">
        <v>4.2782132899265708</v>
      </c>
      <c r="R4" s="1">
        <f t="shared" si="4"/>
        <v>0.17351603832943061</v>
      </c>
      <c r="S4" s="1">
        <f t="shared" si="5"/>
        <v>2.1163526454531347E-7</v>
      </c>
      <c r="U4" s="1">
        <f t="shared" si="6"/>
        <v>-4.6003832943061762E-4</v>
      </c>
      <c r="V4" s="1">
        <f t="shared" si="7"/>
        <v>0.8938429047137284</v>
      </c>
      <c r="X4" s="1">
        <f>SQRT(X2)</f>
        <v>1.7367149839573701E-2</v>
      </c>
      <c r="Y4" s="1">
        <f>SQRT(Y2)</f>
        <v>9.3751710527434709E-2</v>
      </c>
    </row>
    <row r="5" spans="1:25" x14ac:dyDescent="0.3">
      <c r="A5" s="1">
        <v>4</v>
      </c>
      <c r="B5" s="1">
        <v>30</v>
      </c>
      <c r="C5" s="1">
        <v>0.53300000000000003</v>
      </c>
      <c r="D5" s="1">
        <f t="shared" si="0"/>
        <v>0.86602540378443871</v>
      </c>
      <c r="E5" s="1">
        <f t="shared" si="1"/>
        <v>0.28408900000000004</v>
      </c>
      <c r="F5" s="1">
        <f t="shared" si="2"/>
        <v>8.5043694651631885</v>
      </c>
      <c r="G5" s="1">
        <f t="shared" si="3"/>
        <v>4.6421334075470924</v>
      </c>
      <c r="H5" s="1">
        <v>8.6472340456331676</v>
      </c>
      <c r="I5" s="1">
        <v>5</v>
      </c>
      <c r="Q5" s="1">
        <v>4.6421334075470924</v>
      </c>
      <c r="R5" s="1">
        <f t="shared" si="4"/>
        <v>0.19210149438201293</v>
      </c>
      <c r="S5" s="1">
        <f t="shared" si="5"/>
        <v>8.4617011898192093E-3</v>
      </c>
      <c r="U5" s="1">
        <f t="shared" si="6"/>
        <v>9.1987505617987103E-2</v>
      </c>
      <c r="V5" s="1">
        <f t="shared" si="7"/>
        <v>0.3381568308671154</v>
      </c>
    </row>
    <row r="6" spans="1:25" x14ac:dyDescent="0.3">
      <c r="A6" s="1">
        <v>5</v>
      </c>
      <c r="B6" s="1">
        <v>40</v>
      </c>
      <c r="C6" s="1">
        <v>0.53200000000000003</v>
      </c>
      <c r="D6" s="1">
        <f t="shared" si="0"/>
        <v>0.76604444311897801</v>
      </c>
      <c r="E6" s="1">
        <f t="shared" si="1"/>
        <v>0.28302400000000005</v>
      </c>
      <c r="F6" s="1">
        <f t="shared" si="2"/>
        <v>7.5225564314283639</v>
      </c>
      <c r="G6" s="1">
        <f t="shared" si="3"/>
        <v>5.2480055103902181</v>
      </c>
      <c r="H6" s="1">
        <v>3.3854394080318567E-2</v>
      </c>
      <c r="I6" s="1">
        <v>1.957527337739572E-2</v>
      </c>
      <c r="Q6" s="1">
        <v>5.2480055103902181</v>
      </c>
      <c r="R6" s="1">
        <f t="shared" si="4"/>
        <v>0.2230434753159122</v>
      </c>
      <c r="S6" s="1">
        <f t="shared" si="5"/>
        <v>3.5976633413784716E-3</v>
      </c>
      <c r="U6" s="1">
        <f t="shared" si="6"/>
        <v>5.9980524684087849E-2</v>
      </c>
      <c r="V6" s="1">
        <f t="shared" si="7"/>
        <v>5.9338844056982241E-4</v>
      </c>
    </row>
    <row r="7" spans="1:25" x14ac:dyDescent="0.3">
      <c r="A7" s="1">
        <v>6</v>
      </c>
      <c r="B7" s="1">
        <v>50</v>
      </c>
      <c r="C7" s="1">
        <v>0.47499999999999998</v>
      </c>
      <c r="D7" s="1">
        <f t="shared" si="0"/>
        <v>0.64278760968653936</v>
      </c>
      <c r="E7" s="1">
        <f t="shared" si="1"/>
        <v>0.22562499999999999</v>
      </c>
      <c r="F7" s="1">
        <f t="shared" si="2"/>
        <v>6.3121743271218165</v>
      </c>
      <c r="G7" s="1">
        <f t="shared" si="3"/>
        <v>6.2543294209617528</v>
      </c>
      <c r="Q7" s="1">
        <v>6.2543294209617528</v>
      </c>
      <c r="R7" s="1">
        <f t="shared" si="4"/>
        <v>0.27443659130213161</v>
      </c>
      <c r="S7" s="1">
        <f t="shared" si="5"/>
        <v>2.3825714454463304E-3</v>
      </c>
      <c r="U7" s="1">
        <f t="shared" si="6"/>
        <v>-4.8811591302131613E-2</v>
      </c>
      <c r="V7" s="1">
        <f t="shared" si="7"/>
        <v>1.0623084282370552</v>
      </c>
    </row>
    <row r="8" spans="1:25" x14ac:dyDescent="0.3">
      <c r="A8" s="1">
        <v>7</v>
      </c>
      <c r="B8" s="1">
        <v>60</v>
      </c>
      <c r="C8" s="1">
        <v>0.60099999999999998</v>
      </c>
      <c r="D8" s="1">
        <f t="shared" si="0"/>
        <v>0.50000000000000011</v>
      </c>
      <c r="E8" s="1">
        <f t="shared" si="1"/>
        <v>0.36120099999999999</v>
      </c>
      <c r="F8" s="1">
        <f t="shared" si="2"/>
        <v>4.910000000000001</v>
      </c>
      <c r="G8" s="1">
        <f t="shared" si="3"/>
        <v>8.0404109173844045</v>
      </c>
      <c r="Q8" s="1">
        <v>8.0404109173844045</v>
      </c>
      <c r="R8" s="1">
        <f t="shared" si="4"/>
        <v>0.36565204642766547</v>
      </c>
      <c r="S8" s="1">
        <f t="shared" si="5"/>
        <v>1.9811814301233567E-5</v>
      </c>
      <c r="U8" s="1">
        <f t="shared" si="6"/>
        <v>-4.4510464276654726E-3</v>
      </c>
      <c r="V8" s="1">
        <f t="shared" si="7"/>
        <v>7.9341649113364285</v>
      </c>
    </row>
    <row r="9" spans="1:25" x14ac:dyDescent="0.3">
      <c r="A9" s="1" t="s">
        <v>9</v>
      </c>
    </row>
    <row r="10" spans="1:25" x14ac:dyDescent="0.3">
      <c r="A10" s="1">
        <f>0.22</f>
        <v>0.22</v>
      </c>
    </row>
    <row r="11" spans="1:25" x14ac:dyDescent="0.3">
      <c r="A11" s="1" t="s">
        <v>0</v>
      </c>
      <c r="B11" s="2"/>
      <c r="C11" s="1" t="s">
        <v>1</v>
      </c>
      <c r="D11" s="1" t="s">
        <v>2</v>
      </c>
      <c r="E11" s="1" t="s">
        <v>3</v>
      </c>
      <c r="F11" s="1" t="s">
        <v>4</v>
      </c>
      <c r="G11" s="1" t="s">
        <v>6</v>
      </c>
      <c r="J11" s="1" t="s">
        <v>7</v>
      </c>
      <c r="K11" s="1" t="s">
        <v>15</v>
      </c>
      <c r="L11" s="1" t="s">
        <v>8</v>
      </c>
      <c r="M11" s="1" t="s">
        <v>13</v>
      </c>
      <c r="N11" s="1" t="s">
        <v>14</v>
      </c>
      <c r="O11" s="1" t="s">
        <v>16</v>
      </c>
      <c r="P11" s="1" t="s">
        <v>24</v>
      </c>
      <c r="Q11" s="1" t="s">
        <v>19</v>
      </c>
      <c r="R11" s="1" t="s">
        <v>20</v>
      </c>
      <c r="S11" s="1" t="s">
        <v>27</v>
      </c>
      <c r="T11" s="1" t="s">
        <v>21</v>
      </c>
      <c r="U11" s="1" t="s">
        <v>22</v>
      </c>
      <c r="V11" s="1" t="s">
        <v>23</v>
      </c>
      <c r="W11" s="1" t="s">
        <v>25</v>
      </c>
      <c r="X11" s="1" t="s">
        <v>28</v>
      </c>
      <c r="Y11" s="1" t="s">
        <v>29</v>
      </c>
    </row>
    <row r="12" spans="1:25" x14ac:dyDescent="0.3">
      <c r="A12" s="1">
        <v>1</v>
      </c>
      <c r="B12" s="1">
        <v>0</v>
      </c>
      <c r="C12" s="1">
        <f>0.296</f>
        <v>0.29599999999999999</v>
      </c>
      <c r="D12" s="1">
        <f>COS(B12/180*PI())</f>
        <v>1</v>
      </c>
      <c r="E12" s="1">
        <f>C12^2</f>
        <v>8.7615999999999986E-2</v>
      </c>
      <c r="F12" s="1">
        <f>$A$32*D12</f>
        <v>9.82</v>
      </c>
      <c r="G12" s="1">
        <f>4 * PI()^2 / F12</f>
        <v>4.0202054586922031</v>
      </c>
      <c r="H12" s="1" cm="1">
        <f t="array" ref="H12:I16">LINEST(E12:E18,G12:G18,1,1)</f>
        <v>1.5691131107821575E-2</v>
      </c>
      <c r="I12" s="1">
        <v>2.8497800906571211E-2</v>
      </c>
      <c r="J12" s="1">
        <f>H12</f>
        <v>1.5691131107821575E-2</v>
      </c>
      <c r="K12" s="1">
        <f>H13</f>
        <v>3.4173425164333478E-3</v>
      </c>
      <c r="L12" s="1">
        <f>1/3*B32*D32^2+C32*A20^2</f>
        <v>1.4111610000000002E-3</v>
      </c>
      <c r="M12" s="1">
        <f>(B32*D32/2+C32*A20)/(B32+C32)</f>
        <v>0.10119486185167231</v>
      </c>
      <c r="N12" s="1">
        <f>L12/(B32+C32)/M12</f>
        <v>0.11265944962038658</v>
      </c>
      <c r="P12" s="1">
        <f>AVERAGE(G12:G18)</f>
        <v>5.2236459447009489</v>
      </c>
      <c r="Q12" s="1">
        <v>4.0202054586922031</v>
      </c>
      <c r="R12" s="1">
        <f>$J$12*Q12+$I$12</f>
        <v>9.1579371839290546E-2</v>
      </c>
      <c r="S12" s="1">
        <f>U12^2</f>
        <v>1.5708316336481443E-5</v>
      </c>
      <c r="T12" s="1">
        <f>A20/N12</f>
        <v>0.84324928197420401</v>
      </c>
      <c r="U12" s="1">
        <f>E12-($I$12+$H$12*G12)</f>
        <v>-3.9633718392905609E-3</v>
      </c>
      <c r="V12" s="1">
        <f>(G12-$P$12)^2</f>
        <v>1.4482690033649661</v>
      </c>
      <c r="W12" s="1">
        <f>SUM(V12:V18)</f>
        <v>12.980180417669672</v>
      </c>
      <c r="X12" s="1">
        <f>1/W12*SUM(S12:S18)/5</f>
        <v>1.1678229874623018E-5</v>
      </c>
      <c r="Y12" s="1">
        <f>(1/7 + P12^2/W12)* SUM(S12:S18)/5</f>
        <v>3.403128261747953E-4</v>
      </c>
    </row>
    <row r="13" spans="1:25" x14ac:dyDescent="0.3">
      <c r="A13" s="1">
        <v>2</v>
      </c>
      <c r="B13" s="1">
        <v>10</v>
      </c>
      <c r="C13" s="1">
        <v>0.32200000000000001</v>
      </c>
      <c r="D13" s="1">
        <f t="shared" ref="D13:D18" si="8">COS(B13/180*PI())</f>
        <v>0.98480775301220802</v>
      </c>
      <c r="E13" s="1">
        <f t="shared" ref="E13:E18" si="9">C13^2</f>
        <v>0.10368400000000001</v>
      </c>
      <c r="F13" s="1">
        <f t="shared" ref="F13:F18" si="10">$A$32*D13</f>
        <v>9.670812134579883</v>
      </c>
      <c r="G13" s="1">
        <f t="shared" ref="G13:G18" si="11">4 * PI()^2 / F13</f>
        <v>4.0822236080044005</v>
      </c>
      <c r="H13" s="1">
        <v>3.4173425164333478E-3</v>
      </c>
      <c r="I13" s="1">
        <v>1.8447569654965256E-2</v>
      </c>
      <c r="Q13" s="1">
        <v>4.0822236080044005</v>
      </c>
      <c r="R13" s="1">
        <f t="shared" ref="R13:R18" si="12">$J$12*Q13+$I$12</f>
        <v>9.2552506751212682E-2</v>
      </c>
      <c r="S13" s="1">
        <f t="shared" ref="S13:S18" si="13">U13^2</f>
        <v>1.2391014194779791E-4</v>
      </c>
      <c r="U13" s="1">
        <f t="shared" ref="U13:U18" si="14">E13-($I$12+$H$12*G13)</f>
        <v>1.113149324878733E-2</v>
      </c>
      <c r="V13" s="1">
        <f t="shared" ref="V13:V18" si="15">(G13-$P$12)^2</f>
        <v>1.3028449507098085</v>
      </c>
      <c r="X13" s="1" t="s">
        <v>26</v>
      </c>
      <c r="Y13" s="1" t="s">
        <v>30</v>
      </c>
    </row>
    <row r="14" spans="1:25" x14ac:dyDescent="0.3">
      <c r="A14" s="1">
        <v>3</v>
      </c>
      <c r="B14" s="1">
        <v>20</v>
      </c>
      <c r="C14" s="1">
        <f>0.278</f>
        <v>0.27800000000000002</v>
      </c>
      <c r="D14" s="1">
        <f t="shared" si="8"/>
        <v>0.93969262078590843</v>
      </c>
      <c r="E14" s="1">
        <f t="shared" si="9"/>
        <v>7.7284000000000019E-2</v>
      </c>
      <c r="F14" s="1">
        <f t="shared" si="10"/>
        <v>9.2277815361176216</v>
      </c>
      <c r="G14" s="1">
        <f t="shared" si="11"/>
        <v>4.2782132899265708</v>
      </c>
      <c r="H14" s="1">
        <v>0.80830392907852944</v>
      </c>
      <c r="I14" s="1">
        <v>1.2312007583315831E-2</v>
      </c>
      <c r="Q14" s="1">
        <v>4.2782132899265708</v>
      </c>
      <c r="R14" s="1">
        <f t="shared" si="12"/>
        <v>9.5627806546033714E-2</v>
      </c>
      <c r="S14" s="1">
        <f t="shared" si="13"/>
        <v>3.3649523859830861E-4</v>
      </c>
      <c r="U14" s="1">
        <f t="shared" si="14"/>
        <v>-1.8343806546033695E-2</v>
      </c>
      <c r="V14" s="1">
        <f t="shared" si="15"/>
        <v>0.8938429047137284</v>
      </c>
      <c r="X14" s="1">
        <f>SQRT(X12)</f>
        <v>3.4173425164333495E-3</v>
      </c>
      <c r="Y14" s="1">
        <f>SQRT(Y12)</f>
        <v>1.8447569654965267E-2</v>
      </c>
    </row>
    <row r="15" spans="1:25" x14ac:dyDescent="0.3">
      <c r="A15" s="1">
        <v>4</v>
      </c>
      <c r="B15" s="1">
        <v>30</v>
      </c>
      <c r="C15" s="1">
        <f>0.314</f>
        <v>0.314</v>
      </c>
      <c r="D15" s="1">
        <f t="shared" si="8"/>
        <v>0.86602540378443871</v>
      </c>
      <c r="E15" s="1">
        <f t="shared" si="9"/>
        <v>9.8596000000000003E-2</v>
      </c>
      <c r="F15" s="1">
        <f t="shared" si="10"/>
        <v>8.5043694651631885</v>
      </c>
      <c r="G15" s="1">
        <f t="shared" si="11"/>
        <v>4.6421334075470924</v>
      </c>
      <c r="H15" s="1">
        <v>21.082955044228743</v>
      </c>
      <c r="I15" s="1">
        <v>5</v>
      </c>
      <c r="Q15" s="1">
        <v>4.6421334075470924</v>
      </c>
      <c r="R15" s="1">
        <f t="shared" si="12"/>
        <v>0.10133812482439117</v>
      </c>
      <c r="S15" s="1">
        <f t="shared" si="13"/>
        <v>7.5192485525422771E-6</v>
      </c>
      <c r="U15" s="1">
        <f t="shared" si="14"/>
        <v>-2.742124824391165E-3</v>
      </c>
      <c r="V15" s="1">
        <f t="shared" si="15"/>
        <v>0.3381568308671154</v>
      </c>
    </row>
    <row r="16" spans="1:25" x14ac:dyDescent="0.3">
      <c r="A16" s="1">
        <v>5</v>
      </c>
      <c r="B16" s="1">
        <v>40</v>
      </c>
      <c r="C16" s="1">
        <f>0.353</f>
        <v>0.35299999999999998</v>
      </c>
      <c r="D16" s="1">
        <f t="shared" si="8"/>
        <v>0.76604444311897801</v>
      </c>
      <c r="E16" s="1">
        <f t="shared" si="9"/>
        <v>0.12460899999999998</v>
      </c>
      <c r="F16" s="1">
        <f t="shared" si="10"/>
        <v>7.5225564314283639</v>
      </c>
      <c r="G16" s="1">
        <f t="shared" si="11"/>
        <v>5.2480055103902181</v>
      </c>
      <c r="H16" s="1">
        <v>3.1958709297704364E-3</v>
      </c>
      <c r="I16" s="1">
        <v>7.5792765365813254E-4</v>
      </c>
      <c r="Q16" s="1">
        <v>5.2480055103902181</v>
      </c>
      <c r="R16" s="1">
        <f t="shared" si="12"/>
        <v>0.1108449434246742</v>
      </c>
      <c r="S16" s="1">
        <f t="shared" si="13"/>
        <v>1.8944925340876894E-4</v>
      </c>
      <c r="U16" s="1">
        <f t="shared" si="14"/>
        <v>1.3764056575325784E-2</v>
      </c>
      <c r="V16" s="1">
        <f t="shared" si="15"/>
        <v>5.9338844056982241E-4</v>
      </c>
    </row>
    <row r="17" spans="1:25" x14ac:dyDescent="0.3">
      <c r="A17" s="1">
        <v>6</v>
      </c>
      <c r="B17" s="1">
        <v>50</v>
      </c>
      <c r="C17" s="1">
        <f>0.365</f>
        <v>0.36499999999999999</v>
      </c>
      <c r="D17" s="1">
        <f t="shared" si="8"/>
        <v>0.64278760968653936</v>
      </c>
      <c r="E17" s="1">
        <f t="shared" si="9"/>
        <v>0.13322499999999998</v>
      </c>
      <c r="F17" s="1">
        <f t="shared" si="10"/>
        <v>6.3121743271218165</v>
      </c>
      <c r="G17" s="1">
        <f t="shared" si="11"/>
        <v>6.2543294209617528</v>
      </c>
      <c r="Q17" s="1">
        <v>6.2543294209617528</v>
      </c>
      <c r="R17" s="1">
        <f t="shared" si="12"/>
        <v>0.12663530384238786</v>
      </c>
      <c r="S17" s="1">
        <f t="shared" si="13"/>
        <v>4.3424095449647985E-5</v>
      </c>
      <c r="U17" s="1">
        <f t="shared" si="14"/>
        <v>6.5896961576121238E-3</v>
      </c>
      <c r="V17" s="1">
        <f t="shared" si="15"/>
        <v>1.0623084282370552</v>
      </c>
    </row>
    <row r="18" spans="1:25" x14ac:dyDescent="0.3">
      <c r="A18" s="1">
        <v>7</v>
      </c>
      <c r="B18" s="1">
        <v>60</v>
      </c>
      <c r="C18" s="1">
        <f>0.385</f>
        <v>0.38500000000000001</v>
      </c>
      <c r="D18" s="1">
        <f t="shared" si="8"/>
        <v>0.50000000000000011</v>
      </c>
      <c r="E18" s="1">
        <f t="shared" si="9"/>
        <v>0.148225</v>
      </c>
      <c r="F18" s="1">
        <f t="shared" si="10"/>
        <v>4.910000000000001</v>
      </c>
      <c r="G18" s="1">
        <f t="shared" si="11"/>
        <v>8.0404109173844045</v>
      </c>
      <c r="Q18" s="1">
        <v>8.0404109173844045</v>
      </c>
      <c r="R18" s="1">
        <f t="shared" si="12"/>
        <v>0.15466094277200987</v>
      </c>
      <c r="S18" s="1">
        <f t="shared" si="13"/>
        <v>4.1421359364586126E-5</v>
      </c>
      <c r="U18" s="1">
        <f t="shared" si="14"/>
        <v>-6.4359427720098727E-3</v>
      </c>
      <c r="V18" s="1">
        <f t="shared" si="15"/>
        <v>7.9341649113364285</v>
      </c>
    </row>
    <row r="19" spans="1:25" x14ac:dyDescent="0.3">
      <c r="A19" s="1" t="s">
        <v>9</v>
      </c>
    </row>
    <row r="20" spans="1:25" x14ac:dyDescent="0.3">
      <c r="A20" s="1">
        <f>0.095</f>
        <v>9.5000000000000001E-2</v>
      </c>
    </row>
    <row r="21" spans="1:25" x14ac:dyDescent="0.3">
      <c r="A21" s="1" t="s">
        <v>0</v>
      </c>
      <c r="B21" s="2"/>
      <c r="C21" s="1" t="s">
        <v>1</v>
      </c>
      <c r="D21" s="1" t="s">
        <v>2</v>
      </c>
      <c r="E21" s="1" t="s">
        <v>3</v>
      </c>
      <c r="F21" s="1" t="s">
        <v>4</v>
      </c>
      <c r="G21" s="1" t="s">
        <v>6</v>
      </c>
      <c r="J21" s="1" t="s">
        <v>7</v>
      </c>
      <c r="K21" s="1" t="s">
        <v>15</v>
      </c>
      <c r="L21" s="1" t="s">
        <v>8</v>
      </c>
      <c r="M21" s="1" t="s">
        <v>13</v>
      </c>
      <c r="N21" s="1" t="s">
        <v>14</v>
      </c>
      <c r="O21" s="1" t="s">
        <v>18</v>
      </c>
      <c r="P21" s="1" t="s">
        <v>31</v>
      </c>
      <c r="Q21" s="1" t="s">
        <v>19</v>
      </c>
      <c r="R21" s="1" t="s">
        <v>20</v>
      </c>
      <c r="S21" s="1" t="s">
        <v>27</v>
      </c>
      <c r="T21" s="1" t="s">
        <v>21</v>
      </c>
      <c r="U21" s="1" t="s">
        <v>22</v>
      </c>
      <c r="V21" s="1" t="s">
        <v>23</v>
      </c>
      <c r="W21" s="1" t="s">
        <v>25</v>
      </c>
      <c r="X21" s="1" t="s">
        <v>28</v>
      </c>
      <c r="Y21" s="1" t="s">
        <v>29</v>
      </c>
    </row>
    <row r="22" spans="1:25" x14ac:dyDescent="0.3">
      <c r="A22" s="1">
        <v>1</v>
      </c>
      <c r="B22" s="1">
        <v>0</v>
      </c>
      <c r="C22" s="1">
        <f>0.333</f>
        <v>0.33300000000000002</v>
      </c>
      <c r="D22" s="1">
        <f>COS(B22/180*PI())</f>
        <v>1</v>
      </c>
      <c r="E22" s="1">
        <f>C22^2</f>
        <v>0.11088900000000002</v>
      </c>
      <c r="F22" s="1">
        <f>$A$32*D22</f>
        <v>9.82</v>
      </c>
      <c r="G22" s="1">
        <f>4*PI()^2 / F22</f>
        <v>4.0202054586922031</v>
      </c>
      <c r="H22" s="1" cm="1">
        <f t="array" ref="H22:I26">LINEST(E22:E28,G22:G28,1,1)</f>
        <v>7.664713802794901E-3</v>
      </c>
      <c r="I22" s="1">
        <v>0.1360623916838799</v>
      </c>
      <c r="J22" s="1">
        <f>H22</f>
        <v>7.664713802794901E-3</v>
      </c>
      <c r="K22" s="1">
        <f>H23</f>
        <v>1.5942834639805392E-2</v>
      </c>
      <c r="L22" s="1">
        <f>1/3*B32*D32^2+C32*A30^2</f>
        <v>3.076161E-3</v>
      </c>
      <c r="M22" s="1">
        <f>(B32*D32/2+C32*A30)/(B32+C32)</f>
        <v>0.15500000000000003</v>
      </c>
      <c r="N22" s="1">
        <f>L22/(B32+C32)/M22</f>
        <v>0.16033446437227336</v>
      </c>
      <c r="P22" s="1">
        <f>AVERAGE(G22:G28)</f>
        <v>5.2236459447009489</v>
      </c>
      <c r="Q22" s="1">
        <v>4.0202054586922031</v>
      </c>
      <c r="R22" s="1">
        <f>Q22*$J$22+$I$22</f>
        <v>0.16687611595318944</v>
      </c>
      <c r="S22" s="1">
        <f>U22^2</f>
        <v>3.1345571527558774E-3</v>
      </c>
      <c r="T22" s="1">
        <f>A30/N22</f>
        <v>0.96672914714151847</v>
      </c>
      <c r="U22" s="1">
        <f>E22-($I$22+$H$22*G22)</f>
        <v>-5.598711595318942E-2</v>
      </c>
      <c r="V22" s="1">
        <f>(G22-$P$22)^2</f>
        <v>1.4482690033649661</v>
      </c>
      <c r="W22" s="1">
        <f>SUM(V22:V28)</f>
        <v>12.980180417669672</v>
      </c>
      <c r="X22" s="1">
        <f>1/W22*SUM(S22:S28)/5</f>
        <v>2.541739763521788E-4</v>
      </c>
      <c r="Y22" s="1">
        <f>(1/7 + P22^2/W22)*SUM(S22:S28)/5</f>
        <v>7.4068300728056856E-3</v>
      </c>
    </row>
    <row r="23" spans="1:25" x14ac:dyDescent="0.3">
      <c r="A23" s="1">
        <v>2</v>
      </c>
      <c r="B23" s="1">
        <v>10</v>
      </c>
      <c r="C23" s="1">
        <f>0.392</f>
        <v>0.39200000000000002</v>
      </c>
      <c r="D23" s="1">
        <f t="shared" ref="D23:D28" si="16">COS(B23/180*PI())</f>
        <v>0.98480775301220802</v>
      </c>
      <c r="E23" s="1">
        <f t="shared" ref="E23:E28" si="17">C23^2</f>
        <v>0.15366400000000002</v>
      </c>
      <c r="F23" s="1">
        <f t="shared" ref="F23:F28" si="18">$A$32*D23</f>
        <v>9.670812134579883</v>
      </c>
      <c r="G23" s="1">
        <f t="shared" ref="G23:G28" si="19">4*PI()^2 / F23</f>
        <v>4.0822236080044005</v>
      </c>
      <c r="H23" s="1">
        <v>1.5942834639805392E-2</v>
      </c>
      <c r="I23" s="1">
        <v>8.6062942506084955E-2</v>
      </c>
      <c r="Q23" s="1">
        <v>4.0822236080044005</v>
      </c>
      <c r="R23" s="1">
        <f t="shared" ref="R23:R28" si="20">Q23*$J$22+$I$22</f>
        <v>0.16735146731824643</v>
      </c>
      <c r="S23" s="1">
        <f t="shared" ref="S23:S28" si="21">U23^2</f>
        <v>1.8734676158806357E-4</v>
      </c>
      <c r="U23" s="1">
        <f t="shared" ref="U23:U28" si="22">E23-($I$22+$H$22*G23)</f>
        <v>-1.368746731824641E-2</v>
      </c>
      <c r="V23" s="1">
        <f t="shared" ref="V23:V28" si="23">(G23-$P$22)^2</f>
        <v>1.3028449507098085</v>
      </c>
      <c r="X23" s="1" t="s">
        <v>26</v>
      </c>
      <c r="Y23" s="1" t="s">
        <v>30</v>
      </c>
    </row>
    <row r="24" spans="1:25" x14ac:dyDescent="0.3">
      <c r="A24" s="1">
        <v>3</v>
      </c>
      <c r="B24" s="1">
        <v>20</v>
      </c>
      <c r="C24" s="1">
        <f>0.384</f>
        <v>0.38400000000000001</v>
      </c>
      <c r="D24" s="1">
        <f t="shared" si="16"/>
        <v>0.93969262078590843</v>
      </c>
      <c r="E24" s="1">
        <f t="shared" si="17"/>
        <v>0.147456</v>
      </c>
      <c r="F24" s="1">
        <f t="shared" si="18"/>
        <v>9.2277815361176216</v>
      </c>
      <c r="G24" s="1">
        <f t="shared" si="19"/>
        <v>4.2782132899265708</v>
      </c>
      <c r="H24" s="1">
        <v>4.418400628980277E-2</v>
      </c>
      <c r="I24" s="1">
        <v>5.7438872469154412E-2</v>
      </c>
      <c r="Q24" s="1">
        <v>4.2782132899265708</v>
      </c>
      <c r="R24" s="1">
        <f t="shared" si="20"/>
        <v>0.16885367213848068</v>
      </c>
      <c r="S24" s="1">
        <f t="shared" si="21"/>
        <v>4.5786037294591225E-4</v>
      </c>
      <c r="U24" s="1">
        <f t="shared" si="22"/>
        <v>-2.1397672138480678E-2</v>
      </c>
      <c r="V24" s="1">
        <f t="shared" si="23"/>
        <v>0.8938429047137284</v>
      </c>
      <c r="X24" s="1">
        <f>SQRT(X22)</f>
        <v>1.5942834639805396E-2</v>
      </c>
      <c r="Y24" s="1">
        <f>SQRT(Y22)</f>
        <v>8.6062942506084955E-2</v>
      </c>
    </row>
    <row r="25" spans="1:25" x14ac:dyDescent="0.3">
      <c r="A25" s="1">
        <v>4</v>
      </c>
      <c r="B25" s="1">
        <v>30</v>
      </c>
      <c r="C25" s="1">
        <f>0.429</f>
        <v>0.42899999999999999</v>
      </c>
      <c r="D25" s="1">
        <f t="shared" si="16"/>
        <v>0.86602540378443871</v>
      </c>
      <c r="E25" s="1">
        <f t="shared" si="17"/>
        <v>0.18404099999999998</v>
      </c>
      <c r="F25" s="1">
        <f t="shared" si="18"/>
        <v>8.5043694651631885</v>
      </c>
      <c r="G25" s="1">
        <f t="shared" si="19"/>
        <v>4.6421334075470924</v>
      </c>
      <c r="H25" s="1">
        <v>0.23113238625717814</v>
      </c>
      <c r="I25" s="1">
        <v>5</v>
      </c>
      <c r="Q25" s="1">
        <v>4.6421334075470924</v>
      </c>
      <c r="R25" s="1">
        <f t="shared" si="20"/>
        <v>0.17164301568712143</v>
      </c>
      <c r="S25" s="1">
        <f t="shared" si="21"/>
        <v>1.537100150223828E-4</v>
      </c>
      <c r="U25" s="1">
        <f t="shared" si="22"/>
        <v>1.2397984312878557E-2</v>
      </c>
      <c r="V25" s="1">
        <f t="shared" si="23"/>
        <v>0.3381568308671154</v>
      </c>
    </row>
    <row r="26" spans="1:25" x14ac:dyDescent="0.3">
      <c r="A26" s="1">
        <v>5</v>
      </c>
      <c r="B26" s="1">
        <v>40</v>
      </c>
      <c r="C26" s="1">
        <f>0.501</f>
        <v>0.501</v>
      </c>
      <c r="D26" s="1">
        <f t="shared" si="16"/>
        <v>0.76604444311897801</v>
      </c>
      <c r="E26" s="1">
        <f t="shared" si="17"/>
        <v>0.25100099999999997</v>
      </c>
      <c r="F26" s="1">
        <f t="shared" si="18"/>
        <v>7.5225564314283639</v>
      </c>
      <c r="G26" s="1">
        <f t="shared" si="19"/>
        <v>5.2480055103902181</v>
      </c>
      <c r="H26" s="1">
        <v>7.6255753221820752E-4</v>
      </c>
      <c r="I26" s="1">
        <v>1.6496120352638925E-2</v>
      </c>
      <c r="Q26" s="1">
        <v>5.2480055103902181</v>
      </c>
      <c r="R26" s="1">
        <f t="shared" si="20"/>
        <v>0.1762868519565115</v>
      </c>
      <c r="S26" s="1">
        <f t="shared" si="21"/>
        <v>5.5822039178643123E-3</v>
      </c>
      <c r="U26" s="1">
        <f t="shared" si="22"/>
        <v>7.4714148043488471E-2</v>
      </c>
      <c r="V26" s="1">
        <f t="shared" si="23"/>
        <v>5.9338844056982241E-4</v>
      </c>
    </row>
    <row r="27" spans="1:25" x14ac:dyDescent="0.3">
      <c r="A27" s="1">
        <v>6</v>
      </c>
      <c r="B27" s="1">
        <v>50</v>
      </c>
      <c r="C27" s="1">
        <f>0.495</f>
        <v>0.495</v>
      </c>
      <c r="D27" s="1">
        <f t="shared" si="16"/>
        <v>0.64278760968653936</v>
      </c>
      <c r="E27" s="1">
        <f t="shared" si="17"/>
        <v>0.24502499999999999</v>
      </c>
      <c r="F27" s="1">
        <f t="shared" si="18"/>
        <v>6.3121743271218165</v>
      </c>
      <c r="G27" s="1">
        <f t="shared" si="19"/>
        <v>6.2543294209617528</v>
      </c>
      <c r="Q27" s="1">
        <v>6.2543294209617528</v>
      </c>
      <c r="R27" s="1">
        <f t="shared" si="20"/>
        <v>0.18400003672395168</v>
      </c>
      <c r="S27" s="1">
        <f t="shared" si="21"/>
        <v>3.7240461428430451E-3</v>
      </c>
      <c r="U27" s="1">
        <f t="shared" si="22"/>
        <v>6.1024963276048311E-2</v>
      </c>
      <c r="V27" s="1">
        <f t="shared" si="23"/>
        <v>1.0623084282370552</v>
      </c>
    </row>
    <row r="28" spans="1:25" x14ac:dyDescent="0.3">
      <c r="A28" s="1">
        <v>7</v>
      </c>
      <c r="B28" s="1">
        <v>60</v>
      </c>
      <c r="C28" s="1">
        <f>0.375</f>
        <v>0.375</v>
      </c>
      <c r="D28" s="1">
        <f t="shared" si="16"/>
        <v>0.50000000000000011</v>
      </c>
      <c r="E28" s="1">
        <f t="shared" si="17"/>
        <v>0.140625</v>
      </c>
      <c r="F28" s="1">
        <f t="shared" si="18"/>
        <v>4.910000000000001</v>
      </c>
      <c r="G28" s="1">
        <f t="shared" si="19"/>
        <v>8.0404109173844045</v>
      </c>
      <c r="Q28" s="1">
        <v>8.0404109173844045</v>
      </c>
      <c r="R28" s="1">
        <f t="shared" si="20"/>
        <v>0.19768984022249897</v>
      </c>
      <c r="S28" s="1">
        <f t="shared" si="21"/>
        <v>3.2563959896193362E-3</v>
      </c>
      <c r="U28" s="1">
        <f t="shared" si="22"/>
        <v>-5.7064840222498969E-2</v>
      </c>
      <c r="V28" s="1">
        <f t="shared" si="23"/>
        <v>7.9341649113364285</v>
      </c>
    </row>
    <row r="29" spans="1:25" x14ac:dyDescent="0.3">
      <c r="A29" s="1" t="s">
        <v>9</v>
      </c>
    </row>
    <row r="30" spans="1:25" x14ac:dyDescent="0.3">
      <c r="A30" s="1">
        <f>0.155</f>
        <v>0.155</v>
      </c>
    </row>
    <row r="31" spans="1:25" x14ac:dyDescent="0.3">
      <c r="A31" s="1" t="s">
        <v>5</v>
      </c>
      <c r="B31" s="1" t="s">
        <v>10</v>
      </c>
      <c r="C31" s="1" t="s">
        <v>11</v>
      </c>
      <c r="D31" s="1" t="s">
        <v>12</v>
      </c>
    </row>
    <row r="32" spans="1:25" x14ac:dyDescent="0.3">
      <c r="A32" s="1">
        <f>9.82</f>
        <v>9.82</v>
      </c>
      <c r="B32" s="1">
        <f>0.01278</f>
        <v>1.278E-2</v>
      </c>
      <c r="C32" s="1">
        <f>0.111</f>
        <v>0.111</v>
      </c>
      <c r="D32" s="1">
        <f>0.31</f>
        <v>0.31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Зыков</dc:creator>
  <cp:lastModifiedBy>Andrey Zykov</cp:lastModifiedBy>
  <dcterms:created xsi:type="dcterms:W3CDTF">2025-12-07T12:55:07Z</dcterms:created>
  <dcterms:modified xsi:type="dcterms:W3CDTF">2025-12-09T10:58:17Z</dcterms:modified>
</cp:coreProperties>
</file>