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8B347340-AD24-4A8B-B869-8DF541931112}" xr6:coauthVersionLast="47" xr6:coauthVersionMax="47" xr10:uidLastSave="{00000000-0000-0000-0000-000000000000}"/>
  <bookViews>
    <workbookView xWindow="-120" yWindow="-120" windowWidth="38640" windowHeight="21120" xr2:uid="{B33B3B93-CF13-4453-A35B-FC7D03896E0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45" i="1" l="1"/>
  <c r="AC44" i="1"/>
  <c r="AC43" i="1"/>
  <c r="AC42" i="1"/>
  <c r="AB45" i="1"/>
  <c r="AB44" i="1"/>
  <c r="AB43" i="1"/>
  <c r="AB42" i="1"/>
  <c r="AK44" i="1"/>
  <c r="Y29" i="1"/>
  <c r="AH3" i="1"/>
  <c r="AM29" i="1" a="1"/>
  <c r="AM29" i="1" s="1"/>
  <c r="AP42" i="1"/>
  <c r="AO43" i="1"/>
  <c r="AO44" i="1"/>
  <c r="AO45" i="1"/>
  <c r="AO46" i="1"/>
  <c r="AO47" i="1"/>
  <c r="AO42" i="1"/>
  <c r="AA50" i="1"/>
  <c r="AA51" i="1"/>
  <c r="AA52" i="1"/>
  <c r="AA49" i="1"/>
  <c r="AA46" i="1"/>
  <c r="AA47" i="1"/>
  <c r="AA48" i="1"/>
  <c r="AA45" i="1"/>
  <c r="AA40" i="1"/>
  <c r="AA42" i="1"/>
  <c r="AA43" i="1"/>
  <c r="AA44" i="1"/>
  <c r="AA41" i="1"/>
  <c r="AA38" i="1"/>
  <c r="AA39" i="1"/>
  <c r="AA37" i="1"/>
  <c r="AA34" i="1"/>
  <c r="AA35" i="1"/>
  <c r="AA36" i="1"/>
  <c r="AA33" i="1"/>
  <c r="Y30" i="1"/>
  <c r="AK29" i="1"/>
  <c r="AK30" i="1"/>
  <c r="AK31" i="1"/>
  <c r="AK32" i="1"/>
  <c r="AK33" i="1"/>
  <c r="AK34" i="1"/>
  <c r="S2" i="1"/>
  <c r="AJ30" i="1"/>
  <c r="AJ31" i="1"/>
  <c r="AJ32" i="1"/>
  <c r="AJ33" i="1"/>
  <c r="AJ34" i="1"/>
  <c r="AJ29" i="1"/>
  <c r="AC31" i="1"/>
  <c r="AE34" i="1"/>
  <c r="AE32" i="1"/>
  <c r="AE31" i="1"/>
  <c r="AE29" i="1"/>
  <c r="AD34" i="1"/>
  <c r="AD33" i="1"/>
  <c r="AD32" i="1"/>
  <c r="U25" i="1"/>
  <c r="U14" i="1"/>
  <c r="U13" i="1"/>
  <c r="U3" i="1"/>
  <c r="U4" i="1"/>
  <c r="U5" i="1"/>
  <c r="U6" i="1"/>
  <c r="U7" i="1"/>
  <c r="U2" i="1"/>
  <c r="K4" i="1"/>
  <c r="AD31" i="1"/>
  <c r="AD30" i="1"/>
  <c r="AD29" i="1"/>
  <c r="AA31" i="1" s="1"/>
  <c r="AC34" i="1"/>
  <c r="AC33" i="1"/>
  <c r="AC32" i="1"/>
  <c r="AC30" i="1"/>
  <c r="AC29" i="1"/>
  <c r="Z52" i="1"/>
  <c r="Z51" i="1"/>
  <c r="Z50" i="1"/>
  <c r="Z49" i="1"/>
  <c r="Y52" i="1"/>
  <c r="Y51" i="1"/>
  <c r="Y50" i="1"/>
  <c r="Y49" i="1"/>
  <c r="Z48" i="1"/>
  <c r="Z47" i="1"/>
  <c r="Z46" i="1"/>
  <c r="Z45" i="1"/>
  <c r="AE33" i="1" s="1"/>
  <c r="Y48" i="1"/>
  <c r="Y47" i="1"/>
  <c r="Y46" i="1"/>
  <c r="Y45" i="1"/>
  <c r="Z44" i="1"/>
  <c r="Z43" i="1"/>
  <c r="Z42" i="1"/>
  <c r="Z41" i="1"/>
  <c r="Y44" i="1"/>
  <c r="Y43" i="1"/>
  <c r="Y42" i="1"/>
  <c r="Y41" i="1"/>
  <c r="Z40" i="1"/>
  <c r="Z39" i="1"/>
  <c r="Z38" i="1"/>
  <c r="Z37" i="1"/>
  <c r="Y40" i="1"/>
  <c r="Y39" i="1"/>
  <c r="Y38" i="1"/>
  <c r="Y37" i="1"/>
  <c r="Z36" i="1"/>
  <c r="Z35" i="1"/>
  <c r="Z34" i="1"/>
  <c r="Z33" i="1"/>
  <c r="AE30" i="1" s="1"/>
  <c r="Y36" i="1"/>
  <c r="Y35" i="1"/>
  <c r="Y34" i="1"/>
  <c r="Y33" i="1"/>
  <c r="Z32" i="1"/>
  <c r="Z31" i="1"/>
  <c r="Z30" i="1"/>
  <c r="Z29" i="1"/>
  <c r="Y32" i="1"/>
  <c r="Y31" i="1"/>
  <c r="T2" i="1"/>
  <c r="V20" i="1"/>
  <c r="V14" i="1"/>
  <c r="V8" i="1"/>
  <c r="S3" i="1"/>
  <c r="T3" i="1" s="1"/>
  <c r="S4" i="1"/>
  <c r="T4" i="1" s="1"/>
  <c r="S5" i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U16" i="1" s="1"/>
  <c r="S17" i="1"/>
  <c r="T17" i="1" s="1"/>
  <c r="S18" i="1"/>
  <c r="U18" i="1" s="1"/>
  <c r="S19" i="1"/>
  <c r="T19" i="1" s="1"/>
  <c r="S20" i="1"/>
  <c r="T20" i="1" s="1"/>
  <c r="S21" i="1"/>
  <c r="T21" i="1" s="1"/>
  <c r="S22" i="1"/>
  <c r="U22" i="1" s="1"/>
  <c r="S23" i="1"/>
  <c r="U23" i="1" s="1"/>
  <c r="S24" i="1"/>
  <c r="U24" i="1" s="1"/>
  <c r="S25" i="1"/>
  <c r="T22" i="1"/>
  <c r="T23" i="1"/>
  <c r="T24" i="1"/>
  <c r="T25" i="1"/>
  <c r="K3" i="1"/>
  <c r="K2" i="1"/>
  <c r="T5" i="1"/>
  <c r="T16" i="1"/>
  <c r="T18" i="1"/>
  <c r="C5" i="1"/>
  <c r="H17" i="1"/>
  <c r="G17" i="1"/>
  <c r="F17" i="1"/>
  <c r="E17" i="1"/>
  <c r="D17" i="1"/>
  <c r="C17" i="1"/>
  <c r="H13" i="1"/>
  <c r="G13" i="1"/>
  <c r="F13" i="1"/>
  <c r="E13" i="1"/>
  <c r="D13" i="1"/>
  <c r="C13" i="1"/>
  <c r="H9" i="1"/>
  <c r="G9" i="1"/>
  <c r="F9" i="1"/>
  <c r="E9" i="1"/>
  <c r="D9" i="1"/>
  <c r="C9" i="1"/>
  <c r="H5" i="1"/>
  <c r="E5" i="1"/>
  <c r="F5" i="1"/>
  <c r="G5" i="1"/>
  <c r="D5" i="1"/>
  <c r="AA32" i="1" l="1"/>
  <c r="AA30" i="1"/>
  <c r="AA29" i="1"/>
  <c r="AP30" i="1"/>
  <c r="AP31" i="1"/>
  <c r="AP32" i="1"/>
  <c r="AP33" i="1"/>
  <c r="AP34" i="1"/>
  <c r="AL32" i="1"/>
  <c r="AL33" i="1"/>
  <c r="AL34" i="1"/>
  <c r="AP29" i="1"/>
  <c r="AL29" i="1"/>
  <c r="AL31" i="1"/>
  <c r="AL30" i="1"/>
  <c r="U8" i="1"/>
  <c r="U12" i="1"/>
  <c r="U11" i="1"/>
  <c r="U10" i="1"/>
  <c r="U9" i="1"/>
  <c r="U19" i="1"/>
  <c r="U17" i="1"/>
  <c r="U15" i="1"/>
  <c r="U20" i="1"/>
  <c r="AH2" i="1" s="1"/>
  <c r="U21" i="1"/>
  <c r="AL3" i="1" l="1"/>
  <c r="AL5" i="1"/>
  <c r="AL6" i="1"/>
  <c r="AH5" i="1"/>
  <c r="AL7" i="1"/>
  <c r="AL8" i="1"/>
  <c r="AL4" i="1"/>
  <c r="A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<sst xmlns="http://schemas.openxmlformats.org/spreadsheetml/2006/main" count="81" uniqueCount="46">
  <si>
    <t xml:space="preserve">m1 </t>
  </si>
  <si>
    <t>t1</t>
  </si>
  <si>
    <t>t2</t>
  </si>
  <si>
    <t>t3</t>
  </si>
  <si>
    <t>tср</t>
  </si>
  <si>
    <t>m2</t>
  </si>
  <si>
    <t>m3</t>
  </si>
  <si>
    <t>m4</t>
  </si>
  <si>
    <t>t ср</t>
  </si>
  <si>
    <t>риска</t>
  </si>
  <si>
    <t>a</t>
  </si>
  <si>
    <t>M</t>
  </si>
  <si>
    <t>m1</t>
  </si>
  <si>
    <t>d=</t>
  </si>
  <si>
    <t>M=</t>
  </si>
  <si>
    <t>a=</t>
  </si>
  <si>
    <t>tср=</t>
  </si>
  <si>
    <t>g=</t>
  </si>
  <si>
    <t>m=</t>
  </si>
  <si>
    <t>h=</t>
  </si>
  <si>
    <t>I1=</t>
  </si>
  <si>
    <t>(Mтр)=</t>
  </si>
  <si>
    <t>M1ср =</t>
  </si>
  <si>
    <t>I</t>
  </si>
  <si>
    <t>Mтр</t>
  </si>
  <si>
    <t>Mср</t>
  </si>
  <si>
    <t>e, рад/c</t>
  </si>
  <si>
    <t>E</t>
  </si>
  <si>
    <t>ma = mg - T =&gt; T = m(a-g)</t>
  </si>
  <si>
    <t>R</t>
  </si>
  <si>
    <t>R^2</t>
  </si>
  <si>
    <t>l1</t>
  </si>
  <si>
    <t>l0</t>
  </si>
  <si>
    <t>b</t>
  </si>
  <si>
    <t xml:space="preserve">	Абсолютная погрешность косвенных измерений величины z = f (a, b, c, …):</t>
  </si>
  <si>
    <t xml:space="preserve"> дельта h</t>
  </si>
  <si>
    <t>дельта t</t>
  </si>
  <si>
    <t>дельта d</t>
  </si>
  <si>
    <t>дельта m</t>
  </si>
  <si>
    <t>I0</t>
  </si>
  <si>
    <t>4mут</t>
  </si>
  <si>
    <t>di</t>
  </si>
  <si>
    <t>M = Mтр + I*E</t>
  </si>
  <si>
    <t>D</t>
  </si>
  <si>
    <t>(R^2 - R^2ср)^2</t>
  </si>
  <si>
    <t>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</si>
</sst>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20" xfId="0" applyBorder="1"/>
    <xf numFmtId="0" fontId="0" fillId="2" borderId="0" xfId="0" applyFill="1"/>
    <xf numFmtId="0" fontId="2" fillId="0" borderId="0" xfId="0" applyFont="1" applyAlignment="1">
      <alignment vertical="center"/>
    </xf>
    <xf numFmtId="0" fontId="1" fillId="0" borderId="14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0" fillId="0" borderId="0" xfId="0" applyNumberFormat="1"/>
    <xf numFmtId="2" fontId="0" fillId="0" borderId="18" xfId="0" applyNumberFormat="1" applyBorder="1"/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I(R^2)</a:t>
            </a:r>
            <a:endParaRPr lang="ru-RU"/>
          </a:p>
        </c:rich>
      </c:tx>
      <c:layout>
        <c:manualLayout>
          <c:xMode val="edge"/>
          <c:yMode val="edge"/>
          <c:x val="0.35418604086292949"/>
          <c:y val="8.61014030460913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5919633029217096E-2"/>
          <c:y val="7.0899646667864399E-2"/>
          <c:w val="0.86011898938821141"/>
          <c:h val="0.82194681825937321"/>
        </c:manualLayout>
      </c:layout>
      <c:scatterChart>
        <c:scatterStyle val="lineMarker"/>
        <c:varyColors val="0"/>
        <c:ser>
          <c:idx val="0"/>
          <c:order val="0"/>
          <c:tx>
            <c:v>I(R^2)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Лист1!$AK$29:$AK$34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Лист1!$AI$29:$AI$34</c:f>
              <c:numCache>
                <c:formatCode>General</c:formatCode>
                <c:ptCount val="6"/>
                <c:pt idx="0">
                  <c:v>2.8129842266279941E-2</c:v>
                </c:pt>
                <c:pt idx="1">
                  <c:v>3.8712596676749811E-2</c:v>
                </c:pt>
                <c:pt idx="2">
                  <c:v>4.8424446724314819E-2</c:v>
                </c:pt>
                <c:pt idx="3">
                  <c:v>6.7794004611837044E-2</c:v>
                </c:pt>
                <c:pt idx="4">
                  <c:v>8.8240071908944187E-2</c:v>
                </c:pt>
                <c:pt idx="5">
                  <c:v>0.10150714929795182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37-4039-8C44-171E4E668097}"/>
            </c:ext>
          </c:extLst>
        </c:ser>
        <c:ser>
          <c:idx val="1"/>
          <c:order val="1"/>
          <c:tx>
            <c:v>4*mут*R^2 +I0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Лист1!$AO$29:$AO$34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Лист1!$AP$29:$AP$34</c:f>
              <c:numCache>
                <c:formatCode>General</c:formatCode>
                <c:ptCount val="6"/>
                <c:pt idx="0">
                  <c:v>2.8646307031384387E-2</c:v>
                </c:pt>
                <c:pt idx="1">
                  <c:v>3.8406556204871788E-2</c:v>
                </c:pt>
                <c:pt idx="2">
                  <c:v>5.0893131963132193E-2</c:v>
                </c:pt>
                <c:pt idx="3">
                  <c:v>6.6106034306165629E-2</c:v>
                </c:pt>
                <c:pt idx="4">
                  <c:v>8.4045263233972059E-2</c:v>
                </c:pt>
                <c:pt idx="5">
                  <c:v>0.10471081874655151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37-4039-8C44-171E4E668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423008"/>
        <c:axId val="309413888"/>
      </c:scatterChart>
      <c:valAx>
        <c:axId val="3094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R^2</a:t>
                </a:r>
                <a:r>
                  <a:rPr lang="ru-RU"/>
                  <a:t>,</a:t>
                </a:r>
                <a:r>
                  <a:rPr lang="ru-RU" baseline="0"/>
                  <a:t> м</a:t>
                </a:r>
                <a:r>
                  <a:rPr lang="en-US" baseline="0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413888"/>
        <c:crosses val="autoZero"/>
        <c:crossBetween val="midCat"/>
      </c:valAx>
      <c:valAx>
        <c:axId val="3094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  <a:r>
                  <a:rPr lang="en-US"/>
                  <a:t>^2</a:t>
                </a:r>
                <a:r>
                  <a:rPr lang="en-US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42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392400296429244E-2"/>
          <c:y val="5.6121007648203332E-2"/>
          <c:w val="0.17628178833194819"/>
          <c:h val="0.18268506676495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M(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en-US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риска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Лист1!$AC$42:$AC$45</c:f>
                <c:numCache>
                  <c:formatCode>General</c:formatCode>
                  <c:ptCount val="4"/>
                  <c:pt idx="0">
                    <c:v>6.9999999999999999E-4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Лист1!$AC$42:$AC$45</c:f>
                <c:numCache>
                  <c:formatCode>General</c:formatCode>
                  <c:ptCount val="4"/>
                  <c:pt idx="0">
                    <c:v>6.9999999999999999E-4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Лист1!$AB$42:$AB$45</c:f>
                <c:numCache>
                  <c:formatCode>General</c:formatCode>
                  <c:ptCount val="4"/>
                  <c:pt idx="0">
                    <c:v>0.16900000000000001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Лист1!$AB$42:$AB$45</c:f>
                <c:numCache>
                  <c:formatCode>General</c:formatCode>
                  <c:ptCount val="4"/>
                  <c:pt idx="0">
                    <c:v>0.16900000000000001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Лист1!$Y$29:$Y$32</c:f>
              <c:numCache>
                <c:formatCode>General</c:formatCode>
                <c:ptCount val="4"/>
                <c:pt idx="0">
                  <c:v>2.54</c:v>
                </c:pt>
                <c:pt idx="1">
                  <c:v>4.71</c:v>
                </c:pt>
                <c:pt idx="2">
                  <c:v>7.11</c:v>
                </c:pt>
                <c:pt idx="3">
                  <c:v>8.82</c:v>
                </c:pt>
              </c:numCache>
            </c:numRef>
          </c:xVal>
          <c:yVal>
            <c:numRef>
              <c:f>Лист1!$Z$29:$Z$32</c:f>
              <c:numCache>
                <c:formatCode>General</c:formatCode>
                <c:ptCount val="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FF2-48AE-A174-CB62762C3F60}"/>
            </c:ext>
          </c:extLst>
        </c:ser>
        <c:ser>
          <c:idx val="1"/>
          <c:order val="1"/>
          <c:tx>
            <c:v>риска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Лист1!$Y$33:$Y$36</c:f>
              <c:numCache>
                <c:formatCode>General</c:formatCode>
                <c:ptCount val="4"/>
                <c:pt idx="0">
                  <c:v>1.9</c:v>
                </c:pt>
                <c:pt idx="1">
                  <c:v>3.49</c:v>
                </c:pt>
                <c:pt idx="2">
                  <c:v>5.27</c:v>
                </c:pt>
                <c:pt idx="3">
                  <c:v>6.44</c:v>
                </c:pt>
              </c:numCache>
            </c:numRef>
          </c:xVal>
          <c:yVal>
            <c:numRef>
              <c:f>Лист1!$Z$33:$Z$36</c:f>
              <c:numCache>
                <c:formatCode>General</c:formatCode>
                <c:ptCount val="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FF2-48AE-A174-CB62762C3F60}"/>
            </c:ext>
          </c:extLst>
        </c:ser>
        <c:ser>
          <c:idx val="2"/>
          <c:order val="2"/>
          <c:tx>
            <c:v>риска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Лист1!$Y$37:$Y$40</c:f>
              <c:numCache>
                <c:formatCode>General</c:formatCode>
                <c:ptCount val="4"/>
                <c:pt idx="0">
                  <c:v>1.5</c:v>
                </c:pt>
                <c:pt idx="1">
                  <c:v>2.76</c:v>
                </c:pt>
                <c:pt idx="2">
                  <c:v>3.99</c:v>
                </c:pt>
                <c:pt idx="3">
                  <c:v>5.22</c:v>
                </c:pt>
              </c:numCache>
            </c:numRef>
          </c:xVal>
          <c:yVal>
            <c:numRef>
              <c:f>Лист1!$Z$37:$Z$40</c:f>
              <c:numCache>
                <c:formatCode>General</c:formatCode>
                <c:ptCount val="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FF2-48AE-A174-CB62762C3F60}"/>
            </c:ext>
          </c:extLst>
        </c:ser>
        <c:ser>
          <c:idx val="3"/>
          <c:order val="3"/>
          <c:tx>
            <c:v>риска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Лист1!$Y$41:$Y$44</c:f>
              <c:numCache>
                <c:formatCode>General</c:formatCode>
                <c:ptCount val="4"/>
                <c:pt idx="0">
                  <c:v>1.03</c:v>
                </c:pt>
                <c:pt idx="1">
                  <c:v>1.99</c:v>
                </c:pt>
                <c:pt idx="2">
                  <c:v>2.92</c:v>
                </c:pt>
                <c:pt idx="3">
                  <c:v>3.66</c:v>
                </c:pt>
              </c:numCache>
            </c:numRef>
          </c:xVal>
          <c:yVal>
            <c:numRef>
              <c:f>Лист1!$Z$41:$Z$44</c:f>
              <c:numCache>
                <c:formatCode>General</c:formatCode>
                <c:ptCount val="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FF2-48AE-A174-CB62762C3F60}"/>
            </c:ext>
          </c:extLst>
        </c:ser>
        <c:ser>
          <c:idx val="4"/>
          <c:order val="4"/>
          <c:tx>
            <c:v>риска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Лист1!$Y$45:$Y$48</c:f>
              <c:numCache>
                <c:formatCode>General</c:formatCode>
                <c:ptCount val="4"/>
                <c:pt idx="0">
                  <c:v>0.86</c:v>
                </c:pt>
                <c:pt idx="1">
                  <c:v>1.58</c:v>
                </c:pt>
                <c:pt idx="2">
                  <c:v>2.2799999999999998</c:v>
                </c:pt>
                <c:pt idx="3">
                  <c:v>2.89</c:v>
                </c:pt>
              </c:numCache>
            </c:numRef>
          </c:xVal>
          <c:yVal>
            <c:numRef>
              <c:f>Лист1!$Z$45:$Z$48</c:f>
              <c:numCache>
                <c:formatCode>General</c:formatCode>
                <c:ptCount val="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FF2-48AE-A174-CB62762C3F60}"/>
            </c:ext>
          </c:extLst>
        </c:ser>
        <c:ser>
          <c:idx val="5"/>
          <c:order val="5"/>
          <c:tx>
            <c:v>риска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Лист1!$Y$49:$Y$52</c:f>
              <c:numCache>
                <c:formatCode>General</c:formatCode>
                <c:ptCount val="4"/>
                <c:pt idx="0">
                  <c:v>0.68</c:v>
                </c:pt>
                <c:pt idx="1">
                  <c:v>1.25</c:v>
                </c:pt>
                <c:pt idx="2">
                  <c:v>1.85</c:v>
                </c:pt>
                <c:pt idx="3">
                  <c:v>2.4500000000000002</c:v>
                </c:pt>
              </c:numCache>
            </c:numRef>
          </c:xVal>
          <c:yVal>
            <c:numRef>
              <c:f>Лист1!$Z$49:$Z$52</c:f>
              <c:numCache>
                <c:formatCode>General</c:formatCode>
                <c:ptCount val="4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FF2-48AE-A174-CB62762C3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78208"/>
        <c:axId val="309567648"/>
      </c:scatterChart>
      <c:valAx>
        <c:axId val="30957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</a:t>
                </a:r>
                <a:r>
                  <a:rPr lang="ru-RU" sz="1000" b="0" i="0" u="none" strike="noStrike" baseline="0">
                    <a:effectLst/>
                  </a:rPr>
                  <a:t>, рад/с</a:t>
                </a:r>
                <a:r>
                  <a:rPr lang="en-US" sz="1000" b="0" i="0" u="none" strike="noStrike" baseline="0">
                    <a:effectLst/>
                  </a:rPr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567648"/>
        <c:crosses val="autoZero"/>
        <c:crossBetween val="midCat"/>
      </c:valAx>
      <c:valAx>
        <c:axId val="30956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 </a:t>
                </a:r>
                <a:r>
                  <a:rPr lang="ru-RU"/>
                  <a:t>Н*м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57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8.1226803252168966E-2"/>
          <c:y val="8.9825166584143523E-2"/>
          <c:w val="0.11424314482271156"/>
          <c:h val="0.343998859901228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82846</xdr:colOff>
      <xdr:row>0</xdr:row>
      <xdr:rowOff>11632</xdr:rowOff>
    </xdr:from>
    <xdr:ext cx="10054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4B6CA5-B788-29B4-2D6E-F7EE6F2767D8}"/>
                </a:ext>
              </a:extLst>
            </xdr:cNvPr>
            <xdr:cNvSpPr txBox="1"/>
          </xdr:nvSpPr>
          <xdr:spPr>
            <a:xfrm>
              <a:off x="8640510" y="11632"/>
              <a:ext cx="1005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𝜀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4B6CA5-B788-29B4-2D6E-F7EE6F2767D8}"/>
                </a:ext>
              </a:extLst>
            </xdr:cNvPr>
            <xdr:cNvSpPr txBox="1"/>
          </xdr:nvSpPr>
          <xdr:spPr>
            <a:xfrm>
              <a:off x="8640510" y="11632"/>
              <a:ext cx="10054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8140</xdr:colOff>
      <xdr:row>2</xdr:row>
      <xdr:rowOff>16968</xdr:rowOff>
    </xdr:from>
    <xdr:ext cx="2451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60C24D8-2FAF-4DFC-AB8B-A34A278CCE4E}"/>
                </a:ext>
              </a:extLst>
            </xdr:cNvPr>
            <xdr:cNvSpPr txBox="1"/>
          </xdr:nvSpPr>
          <xdr:spPr>
            <a:xfrm>
              <a:off x="5483014" y="395834"/>
              <a:ext cx="245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𝜀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60C24D8-2FAF-4DFC-AB8B-A34A278CCE4E}"/>
                </a:ext>
              </a:extLst>
            </xdr:cNvPr>
            <xdr:cNvSpPr txBox="1"/>
          </xdr:nvSpPr>
          <xdr:spPr>
            <a:xfrm>
              <a:off x="5483014" y="395834"/>
              <a:ext cx="245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32</xdr:col>
      <xdr:colOff>45357</xdr:colOff>
      <xdr:row>2</xdr:row>
      <xdr:rowOff>3176</xdr:rowOff>
    </xdr:from>
    <xdr:ext cx="3813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7E6562-A172-6C0B-D9B9-B84E4D705B7F}"/>
                </a:ext>
              </a:extLst>
            </xdr:cNvPr>
            <xdr:cNvSpPr txBox="1"/>
          </xdr:nvSpPr>
          <xdr:spPr>
            <a:xfrm>
              <a:off x="45357" y="4126140"/>
              <a:ext cx="3813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𝜀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ср=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7E6562-A172-6C0B-D9B9-B84E4D705B7F}"/>
                </a:ext>
              </a:extLst>
            </xdr:cNvPr>
            <xdr:cNvSpPr txBox="1"/>
          </xdr:nvSpPr>
          <xdr:spPr>
            <a:xfrm>
              <a:off x="45357" y="4126140"/>
              <a:ext cx="3813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ср=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34</xdr:col>
      <xdr:colOff>36996</xdr:colOff>
      <xdr:row>38</xdr:row>
      <xdr:rowOff>23191</xdr:rowOff>
    </xdr:from>
    <xdr:ext cx="2683555" cy="6723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ADB0C7-F3AB-F657-5357-378DC75C4325}"/>
                </a:ext>
              </a:extLst>
            </xdr:cNvPr>
            <xdr:cNvSpPr txBox="1"/>
          </xdr:nvSpPr>
          <xdr:spPr>
            <a:xfrm>
              <a:off x="20688300" y="7030278"/>
              <a:ext cx="2683555" cy="672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∆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𝑧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𝑑𝑎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</m:e>
                              <m:sub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2 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𝑑𝑏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</m:e>
                              <m:sub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2 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𝑑𝑐</m:t>
                                </m:r>
                              </m:den>
                            </m:f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</m:e>
                              <m:sub>
                                <m: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2 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+… </m:t>
                        </m:r>
                      </m:e>
                    </m:ra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ADB0C7-F3AB-F657-5357-378DC75C4325}"/>
                </a:ext>
              </a:extLst>
            </xdr:cNvPr>
            <xdr:cNvSpPr txBox="1"/>
          </xdr:nvSpPr>
          <xdr:spPr>
            <a:xfrm>
              <a:off x="20688300" y="7030278"/>
              <a:ext cx="2683555" cy="6723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∆_𝑧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(𝑑𝑓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𝑑𝑎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∆_𝑎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(𝑑𝑓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𝑑𝑏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∆_𝑏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(𝑑𝑓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𝑑𝑐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∆_𝑐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+…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34</xdr:col>
      <xdr:colOff>141909</xdr:colOff>
      <xdr:row>42</xdr:row>
      <xdr:rowOff>1104</xdr:rowOff>
    </xdr:from>
    <xdr:ext cx="1980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60C65-F74D-1BFB-E663-5B96ECA36724}"/>
                </a:ext>
              </a:extLst>
            </xdr:cNvPr>
            <xdr:cNvSpPr txBox="1"/>
          </xdr:nvSpPr>
          <xdr:spPr>
            <a:xfrm>
              <a:off x="20793213" y="7737061"/>
              <a:ext cx="1980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60C65-F74D-1BFB-E663-5B96ECA36724}"/>
                </a:ext>
              </a:extLst>
            </xdr:cNvPr>
            <xdr:cNvSpPr txBox="1"/>
          </xdr:nvSpPr>
          <xdr:spPr>
            <a:xfrm>
              <a:off x="20793213" y="7737061"/>
              <a:ext cx="1980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35</xdr:col>
      <xdr:colOff>186082</xdr:colOff>
      <xdr:row>41</xdr:row>
      <xdr:rowOff>172278</xdr:rowOff>
    </xdr:from>
    <xdr:ext cx="1846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7FAC369-1C68-A019-1D2E-1F52C639DB3A}"/>
                </a:ext>
              </a:extLst>
            </xdr:cNvPr>
            <xdr:cNvSpPr txBox="1"/>
          </xdr:nvSpPr>
          <xdr:spPr>
            <a:xfrm>
              <a:off x="21444778" y="7726017"/>
              <a:ext cx="1846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𝜀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7FAC369-1C68-A019-1D2E-1F52C639DB3A}"/>
                </a:ext>
              </a:extLst>
            </xdr:cNvPr>
            <xdr:cNvSpPr txBox="1"/>
          </xdr:nvSpPr>
          <xdr:spPr>
            <a:xfrm>
              <a:off x="21444778" y="7726017"/>
              <a:ext cx="1846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36</xdr:col>
      <xdr:colOff>114300</xdr:colOff>
      <xdr:row>41</xdr:row>
      <xdr:rowOff>172279</xdr:rowOff>
    </xdr:from>
    <xdr:ext cx="2394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6A975F8-30D7-B549-B9D3-E9AB8155A90B}"/>
                </a:ext>
              </a:extLst>
            </xdr:cNvPr>
            <xdr:cNvSpPr txBox="1"/>
          </xdr:nvSpPr>
          <xdr:spPr>
            <a:xfrm>
              <a:off x="21980387" y="7726018"/>
              <a:ext cx="2394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𝑀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6A975F8-30D7-B549-B9D3-E9AB8155A90B}"/>
                </a:ext>
              </a:extLst>
            </xdr:cNvPr>
            <xdr:cNvSpPr txBox="1"/>
          </xdr:nvSpPr>
          <xdr:spPr>
            <a:xfrm>
              <a:off x="21980387" y="7726018"/>
              <a:ext cx="2394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𝑀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36</xdr:col>
      <xdr:colOff>0</xdr:colOff>
      <xdr:row>25</xdr:row>
      <xdr:rowOff>1</xdr:rowOff>
    </xdr:from>
    <xdr:to>
      <xdr:col>38</xdr:col>
      <xdr:colOff>513522</xdr:colOff>
      <xdr:row>27</xdr:row>
      <xdr:rowOff>1133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584E665F-6202-C5CC-4A6E-6DD85A19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64870" y="4820479"/>
          <a:ext cx="1830456" cy="382132"/>
        </a:xfrm>
        <a:prstGeom prst="rect">
          <a:avLst/>
        </a:prstGeom>
      </xdr:spPr>
    </xdr:pic>
    <xdr:clientData/>
  </xdr:twoCellAnchor>
  <xdr:twoCellAnchor>
    <xdr:from>
      <xdr:col>42</xdr:col>
      <xdr:colOff>388327</xdr:colOff>
      <xdr:row>12</xdr:row>
      <xdr:rowOff>185530</xdr:rowOff>
    </xdr:from>
    <xdr:to>
      <xdr:col>52</xdr:col>
      <xdr:colOff>146538</xdr:colOff>
      <xdr:row>36</xdr:row>
      <xdr:rowOff>21980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F30FE298-5BFF-609B-E058-89BC4C277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153866</xdr:colOff>
      <xdr:row>26</xdr:row>
      <xdr:rowOff>73271</xdr:rowOff>
    </xdr:from>
    <xdr:to>
      <xdr:col>23</xdr:col>
      <xdr:colOff>52131</xdr:colOff>
      <xdr:row>55</xdr:row>
      <xdr:rowOff>21981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83EF54E3-2DA2-8401-6822-CB5ADDFF9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5E5C-22FD-45B2-B836-E069784BF0C9}">
  <dimension ref="A1:AQ52"/>
  <sheetViews>
    <sheetView tabSelected="1" topLeftCell="I25" zoomScale="130" zoomScaleNormal="130" workbookViewId="0">
      <selection activeCell="AB58" sqref="AB58"/>
    </sheetView>
  </sheetViews>
  <sheetFormatPr defaultRowHeight="15" x14ac:dyDescent="0.25"/>
  <cols>
    <col min="27" max="27" width="13.5703125" customWidth="1"/>
    <col min="38" max="38" width="10.5703125" customWidth="1"/>
    <col min="41" max="41" width="13.7109375" customWidth="1"/>
  </cols>
  <sheetData>
    <row r="1" spans="1:43" ht="16.5" thickBot="1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J1" t="s">
        <v>16</v>
      </c>
      <c r="K1">
        <v>4.9000000000000004</v>
      </c>
      <c r="Q1" t="s">
        <v>8</v>
      </c>
      <c r="R1" t="s">
        <v>9</v>
      </c>
      <c r="S1" t="s">
        <v>10</v>
      </c>
      <c r="U1" t="s">
        <v>11</v>
      </c>
      <c r="Z1" t="s">
        <v>8</v>
      </c>
      <c r="AA1" t="s">
        <v>9</v>
      </c>
      <c r="AB1" t="s">
        <v>10</v>
      </c>
      <c r="AD1" t="s">
        <v>11</v>
      </c>
      <c r="AG1" s="22"/>
      <c r="AL1" s="30"/>
      <c r="AM1" s="30"/>
      <c r="AN1" s="30"/>
      <c r="AO1" s="30"/>
      <c r="AP1" s="30"/>
      <c r="AQ1" s="30"/>
    </row>
    <row r="2" spans="1:43" ht="15.75" x14ac:dyDescent="0.25">
      <c r="A2" s="31" t="s">
        <v>0</v>
      </c>
      <c r="B2" s="10" t="s">
        <v>1</v>
      </c>
      <c r="C2" s="1">
        <v>4.99</v>
      </c>
      <c r="D2" s="2">
        <v>5.69</v>
      </c>
      <c r="E2" s="2">
        <v>6.27</v>
      </c>
      <c r="F2" s="2">
        <v>7.94</v>
      </c>
      <c r="G2" s="2">
        <v>8.69</v>
      </c>
      <c r="H2" s="3">
        <v>9.4499999999999993</v>
      </c>
      <c r="J2" t="s">
        <v>15</v>
      </c>
      <c r="K2">
        <f>(2*K8)/(K1*K1)</f>
        <v>5.8309037900874619E-2</v>
      </c>
      <c r="L2" s="21">
        <v>0.06</v>
      </c>
      <c r="P2" s="29" t="s">
        <v>12</v>
      </c>
      <c r="Q2" s="13">
        <v>4.8966666666666674</v>
      </c>
      <c r="R2" s="16">
        <v>1</v>
      </c>
      <c r="S2" s="16">
        <f>(2*$K$8)/(Q2*Q2)</f>
        <v>5.8388450949762277E-2</v>
      </c>
      <c r="T2" s="24">
        <f>(2*S2)/0.046</f>
        <v>2.5386283021635774</v>
      </c>
      <c r="U2" s="25">
        <f>1*$K$7*$K$5*($K$6-S2)/2</f>
        <v>6.0557507719601986E-2</v>
      </c>
      <c r="Y2" s="13" t="s">
        <v>12</v>
      </c>
      <c r="Z2" s="16">
        <v>4.9000000000000004</v>
      </c>
      <c r="AA2" s="16">
        <v>1</v>
      </c>
      <c r="AB2" s="16">
        <v>0.06</v>
      </c>
      <c r="AC2" s="16">
        <v>2.54</v>
      </c>
      <c r="AD2" s="18">
        <v>0.06</v>
      </c>
      <c r="AG2" s="23" t="s">
        <v>22</v>
      </c>
      <c r="AH2" s="16">
        <f>(U3+U8+U14+U20)/4</f>
        <v>0.14987452471054619</v>
      </c>
      <c r="AI2" s="18"/>
      <c r="AL2" t="s">
        <v>23</v>
      </c>
      <c r="AM2" t="s">
        <v>24</v>
      </c>
      <c r="AN2" t="s">
        <v>25</v>
      </c>
      <c r="AO2" t="s">
        <v>26</v>
      </c>
    </row>
    <row r="3" spans="1:43" x14ac:dyDescent="0.25">
      <c r="A3" s="32"/>
      <c r="B3" s="11" t="s">
        <v>2</v>
      </c>
      <c r="C3" s="4">
        <v>4.66</v>
      </c>
      <c r="D3" s="5">
        <v>5.56</v>
      </c>
      <c r="E3" s="5">
        <v>6.44</v>
      </c>
      <c r="F3" s="5">
        <v>7.92</v>
      </c>
      <c r="G3" s="5">
        <v>8.14</v>
      </c>
      <c r="H3" s="6">
        <v>9.6999999999999993</v>
      </c>
      <c r="K3">
        <f>(2*L2)/K5</f>
        <v>2.6086956521739131</v>
      </c>
      <c r="L3" s="21">
        <v>2.61</v>
      </c>
      <c r="P3" s="29"/>
      <c r="Q3" s="14">
        <v>5.666666666666667</v>
      </c>
      <c r="R3">
        <v>2</v>
      </c>
      <c r="S3">
        <f t="shared" ref="S3:S25" si="0">(2*$K$8)/(Q3*Q3)</f>
        <v>4.3598615916955012E-2</v>
      </c>
      <c r="T3" s="26">
        <f t="shared" ref="T3:T25" si="1">(2*S3)/0.046</f>
        <v>1.8955919963893484</v>
      </c>
      <c r="U3" s="25">
        <f t="shared" ref="U3:U7" si="2">1*$K$7*$K$5*($K$6-S3)/2</f>
        <v>6.064935259515572E-2</v>
      </c>
      <c r="Y3" s="14"/>
      <c r="Z3">
        <v>5.67</v>
      </c>
      <c r="AA3">
        <v>2</v>
      </c>
      <c r="AB3">
        <v>4.3598615916955012E-2</v>
      </c>
      <c r="AC3">
        <v>1.9</v>
      </c>
      <c r="AD3" s="19">
        <v>0.06</v>
      </c>
      <c r="AG3" s="14"/>
      <c r="AH3">
        <f>(2.54+4.71+7.11+8.82)/4</f>
        <v>5.7949999999999999</v>
      </c>
      <c r="AI3" s="19"/>
      <c r="AK3">
        <v>1</v>
      </c>
      <c r="AL3">
        <f t="shared" ref="AL3:AL7" si="3">((AC2-$AH$3)*(AD2-$AH$2)+(AC8-$AH$3)*(AD8-$AH$2)+(AC14-$AH$3)*(AD14-$AH$2)+(AC20-$AH$3)*(AD20-$AH$2))/((AC2-$AH$3)*(AC2-$AH$3)+(AC8-$AH$3)*(AC8-$AH$3)+(AC14-$AH$3)*(AC14-$AH$3)+(AC20-$AH$3)*(AC20-$AH$3))</f>
        <v>2.8129842266279941E-2</v>
      </c>
    </row>
    <row r="4" spans="1:43" x14ac:dyDescent="0.25">
      <c r="A4" s="32"/>
      <c r="B4" s="11" t="s">
        <v>3</v>
      </c>
      <c r="C4" s="4">
        <v>5.04</v>
      </c>
      <c r="D4" s="5">
        <v>5.75</v>
      </c>
      <c r="E4" s="5">
        <v>6.37</v>
      </c>
      <c r="F4" s="5">
        <v>7.22</v>
      </c>
      <c r="G4" s="5">
        <v>8.48</v>
      </c>
      <c r="H4" s="6">
        <v>9.27</v>
      </c>
      <c r="J4" t="s">
        <v>14</v>
      </c>
      <c r="K4">
        <f>(K7*K5*(K6-L2))/2</f>
        <v>6.0547500000000004E-2</v>
      </c>
      <c r="L4" s="21">
        <v>0.06</v>
      </c>
      <c r="P4" s="29"/>
      <c r="Q4" s="14">
        <v>6.36</v>
      </c>
      <c r="R4">
        <v>3</v>
      </c>
      <c r="S4">
        <f t="shared" si="0"/>
        <v>3.4610972667220435E-2</v>
      </c>
      <c r="T4" s="26">
        <f t="shared" si="1"/>
        <v>1.5048248985748016</v>
      </c>
      <c r="U4" s="25">
        <f t="shared" si="2"/>
        <v>6.0705165859736565E-2</v>
      </c>
      <c r="Y4" s="14"/>
      <c r="Z4">
        <v>6.36</v>
      </c>
      <c r="AA4">
        <v>3</v>
      </c>
      <c r="AB4">
        <v>3.4610972667220435E-2</v>
      </c>
      <c r="AC4">
        <v>1.5</v>
      </c>
      <c r="AD4" s="19">
        <v>0.06</v>
      </c>
      <c r="AG4" s="14" t="s">
        <v>20</v>
      </c>
      <c r="AH4">
        <f>((AC2-AH3)*(AD2-AH2)+(AC8-AH3)*(AD8-AH2)+(AC14-AH3)*(AD14-AH2)+(AC20-AH3)*(AD20-AH2))/((AC2-AH3)*(AC2-AH3)+(AC8-AH3)*(AC8-AH3)+(AC14-AH3)*(AC14-AH3)+(AC20-AH3)*(AC20-AH3))</f>
        <v>2.8129842266279941E-2</v>
      </c>
      <c r="AI4" s="19">
        <v>0.03</v>
      </c>
      <c r="AK4">
        <v>2</v>
      </c>
      <c r="AL4">
        <f>((AC3-$AH$3)*(AD3-$AH$2)+(AC9-$AH$3)*(AD9-$AH$2)+(AC15-$AH$3)*(AD15-$AH$2)+(AC21-$AH$3)*(AD21-$AH$2))/((AC3-$AH$3)*(AC3-$AH$3)+(AC9-$AH$3)*(AC9-$AH$3)+(AC15-$AH$3)*(AC15-$AH$3)+(AC21-$AH$3)*(AC21-$AH$3))</f>
        <v>2.1781433919073313E-2</v>
      </c>
    </row>
    <row r="5" spans="1:43" ht="15.75" thickBot="1" x14ac:dyDescent="0.3">
      <c r="A5" s="33"/>
      <c r="B5" s="12" t="s">
        <v>4</v>
      </c>
      <c r="C5" s="7">
        <f>(C2+C3+C4)/3</f>
        <v>4.8966666666666674</v>
      </c>
      <c r="D5" s="8">
        <f>(D2+D3+D4)/3</f>
        <v>5.666666666666667</v>
      </c>
      <c r="E5" s="8">
        <f t="shared" ref="E5:G5" si="4">(E2+E3+E4)/3</f>
        <v>6.36</v>
      </c>
      <c r="F5" s="8">
        <f t="shared" si="4"/>
        <v>7.6933333333333325</v>
      </c>
      <c r="G5" s="8">
        <f t="shared" si="4"/>
        <v>8.4366666666666656</v>
      </c>
      <c r="H5" s="9">
        <f>(H2+H3+H4)/3</f>
        <v>9.4733333333333327</v>
      </c>
      <c r="J5" t="s">
        <v>13</v>
      </c>
      <c r="K5">
        <v>4.5999999999999999E-2</v>
      </c>
      <c r="P5" s="29"/>
      <c r="Q5" s="14">
        <v>7.6933333333333325</v>
      </c>
      <c r="R5">
        <v>4</v>
      </c>
      <c r="S5">
        <f t="shared" si="0"/>
        <v>2.3653691928309045E-2</v>
      </c>
      <c r="T5" s="26">
        <f t="shared" si="1"/>
        <v>1.0284213881873498</v>
      </c>
      <c r="U5" s="25">
        <f t="shared" si="2"/>
        <v>6.0773210573125201E-2</v>
      </c>
      <c r="Y5" s="14"/>
      <c r="Z5">
        <v>7.69</v>
      </c>
      <c r="AA5">
        <v>4</v>
      </c>
      <c r="AB5">
        <v>2.3653691928309045E-2</v>
      </c>
      <c r="AC5">
        <v>1.03</v>
      </c>
      <c r="AD5" s="19">
        <v>0.06</v>
      </c>
      <c r="AG5" s="15" t="s">
        <v>21</v>
      </c>
      <c r="AH5" s="17">
        <f>AH2-AI4*AH3</f>
        <v>-2.3975475289453818E-2</v>
      </c>
      <c r="AI5" s="20">
        <v>-0.24</v>
      </c>
      <c r="AK5">
        <v>3</v>
      </c>
      <c r="AL5">
        <f>((AC4-$AH$3)*(AD4-$AH$2)+(AC10-$AH$3)*(AD10-$AH$2)+(AC16-$AH$3)*(AD16-$AH$2)+(AC22-$AH$3)*(AD22-$AH$2))/((AC4-$AH$3)*(AC4-$AH$3)+(AC10-$AH$3)*(AC10-$AH$3)+(AC16-$AH$3)*(AC16-$AH$3)+(AC22-$AH$3)*(AC22-$AH$3))</f>
        <v>1.1856588491639281E-2</v>
      </c>
    </row>
    <row r="6" spans="1:43" x14ac:dyDescent="0.25">
      <c r="A6" s="31" t="s">
        <v>5</v>
      </c>
      <c r="B6" s="10" t="s">
        <v>1</v>
      </c>
      <c r="C6" s="1">
        <v>3.59</v>
      </c>
      <c r="D6" s="2">
        <v>4.26</v>
      </c>
      <c r="E6" s="2">
        <v>4.59</v>
      </c>
      <c r="F6" s="2">
        <v>5.57</v>
      </c>
      <c r="G6" s="2">
        <v>6.19</v>
      </c>
      <c r="H6" s="3">
        <v>7.04</v>
      </c>
      <c r="J6" t="s">
        <v>17</v>
      </c>
      <c r="K6" s="5">
        <v>9.81</v>
      </c>
      <c r="P6" s="29"/>
      <c r="Q6" s="14">
        <v>8.4366666666666656</v>
      </c>
      <c r="R6">
        <v>5</v>
      </c>
      <c r="S6">
        <f t="shared" si="0"/>
        <v>1.9669180002813008E-2</v>
      </c>
      <c r="T6" s="26">
        <f t="shared" si="1"/>
        <v>0.85518173925273955</v>
      </c>
      <c r="U6" s="25">
        <f t="shared" si="2"/>
        <v>6.0797954392182538E-2</v>
      </c>
      <c r="Y6" s="14"/>
      <c r="Z6">
        <v>8.44</v>
      </c>
      <c r="AA6">
        <v>5</v>
      </c>
      <c r="AB6">
        <v>1.9669180002813008E-2</v>
      </c>
      <c r="AC6">
        <v>0.86</v>
      </c>
      <c r="AD6" s="19">
        <v>0.06</v>
      </c>
      <c r="AK6">
        <v>4</v>
      </c>
      <c r="AL6">
        <f t="shared" si="3"/>
        <v>5.2571743926205939E-3</v>
      </c>
    </row>
    <row r="7" spans="1:43" x14ac:dyDescent="0.25">
      <c r="A7" s="32"/>
      <c r="B7" s="11" t="s">
        <v>2</v>
      </c>
      <c r="C7" s="4">
        <v>3.57</v>
      </c>
      <c r="D7" s="5">
        <v>4.1399999999999997</v>
      </c>
      <c r="E7" s="5">
        <v>4.92</v>
      </c>
      <c r="F7" s="5">
        <v>5.49</v>
      </c>
      <c r="G7" s="5">
        <v>6.14</v>
      </c>
      <c r="H7" s="6">
        <v>7.02</v>
      </c>
      <c r="J7" t="s">
        <v>18</v>
      </c>
      <c r="K7" s="5">
        <v>0.27</v>
      </c>
      <c r="P7" s="29"/>
      <c r="Q7" s="15">
        <v>9.4733333333333327</v>
      </c>
      <c r="R7" s="17">
        <v>6</v>
      </c>
      <c r="S7" s="17">
        <f t="shared" si="0"/>
        <v>1.5599920960400469E-2</v>
      </c>
      <c r="T7" s="27">
        <f t="shared" si="1"/>
        <v>0.67825743306088992</v>
      </c>
      <c r="U7" s="25">
        <f t="shared" si="2"/>
        <v>6.0823224490835916E-2</v>
      </c>
      <c r="Y7" s="15"/>
      <c r="Z7" s="17">
        <v>9.4700000000000006</v>
      </c>
      <c r="AA7" s="17">
        <v>6</v>
      </c>
      <c r="AB7" s="17">
        <v>1.5599920960400469E-2</v>
      </c>
      <c r="AC7" s="17">
        <v>0.68</v>
      </c>
      <c r="AD7" s="20">
        <v>0.06</v>
      </c>
      <c r="AK7">
        <v>5</v>
      </c>
      <c r="AL7">
        <f t="shared" si="3"/>
        <v>3.206664734047912E-3</v>
      </c>
    </row>
    <row r="8" spans="1:43" x14ac:dyDescent="0.25">
      <c r="A8" s="32"/>
      <c r="B8" s="11" t="s">
        <v>3</v>
      </c>
      <c r="C8" s="4">
        <v>3.62</v>
      </c>
      <c r="D8" s="5">
        <v>4.12</v>
      </c>
      <c r="E8" s="5">
        <v>4.59</v>
      </c>
      <c r="F8" s="5">
        <v>5.54</v>
      </c>
      <c r="G8" s="5">
        <v>6.29</v>
      </c>
      <c r="H8" s="6">
        <v>6.84</v>
      </c>
      <c r="J8" t="s">
        <v>19</v>
      </c>
      <c r="K8" s="5">
        <v>0.7</v>
      </c>
      <c r="P8" s="29" t="s">
        <v>5</v>
      </c>
      <c r="Q8" s="13">
        <v>3.5933333333333337</v>
      </c>
      <c r="R8" s="16">
        <v>1</v>
      </c>
      <c r="S8" s="16">
        <f t="shared" si="0"/>
        <v>0.10842589692311395</v>
      </c>
      <c r="T8" s="24">
        <f t="shared" si="1"/>
        <v>4.7141694314397373</v>
      </c>
      <c r="U8" s="25">
        <f>2*$K$7*$K$5*($K$6-S8)/2</f>
        <v>0.12049355036021493</v>
      </c>
      <c r="V8">
        <f>(K7*2*K5)*(K6-0.11)/2</f>
        <v>0.12047400000000001</v>
      </c>
      <c r="Y8" s="13" t="s">
        <v>5</v>
      </c>
      <c r="Z8" s="16">
        <v>3.59</v>
      </c>
      <c r="AA8" s="16">
        <v>1</v>
      </c>
      <c r="AB8" s="16">
        <v>0.11</v>
      </c>
      <c r="AC8" s="16">
        <v>4.71</v>
      </c>
      <c r="AD8" s="18">
        <v>0.12</v>
      </c>
      <c r="AE8">
        <v>0.12047400000000001</v>
      </c>
      <c r="AK8">
        <v>6</v>
      </c>
      <c r="AL8">
        <f>((AC7-$AH$3)*(AD7-$AH$2)+(AC13-$AH$3)*(AD13-$AH$2)+(AC19-$AH$3)*(AD19-$AH$2)+(AC25-$AH$3)*(AD25-$AH$2))/((AC7-$AH$3)*(AC7-$AH$3)+(AC13-$AH$3)*(AC13-$AH$3)+(AC19-$AH$3)*(AC19-$AH$3)+(AC25-$AH$3)*(AC25-$AH$3))</f>
        <v>2.380966666038143E-3</v>
      </c>
    </row>
    <row r="9" spans="1:43" ht="15.75" thickBot="1" x14ac:dyDescent="0.3">
      <c r="A9" s="33"/>
      <c r="B9" s="12" t="s">
        <v>4</v>
      </c>
      <c r="C9" s="7">
        <f>(C6+C7+C8)/3</f>
        <v>3.5933333333333337</v>
      </c>
      <c r="D9" s="8">
        <f>(D6+D7+D8)/3</f>
        <v>4.1733333333333329</v>
      </c>
      <c r="E9" s="8">
        <f t="shared" ref="E9" si="5">(E6+E7+E8)/3</f>
        <v>4.7</v>
      </c>
      <c r="F9" s="8">
        <f t="shared" ref="F9" si="6">(F6+F7+F8)/3</f>
        <v>5.5333333333333341</v>
      </c>
      <c r="G9" s="8">
        <f t="shared" ref="G9" si="7">(G6+G7+G8)/3</f>
        <v>6.206666666666667</v>
      </c>
      <c r="H9" s="9">
        <f>(H6+H7+H8)/3</f>
        <v>6.9666666666666659</v>
      </c>
      <c r="P9" s="29"/>
      <c r="Q9" s="14">
        <v>4.1733333333333329</v>
      </c>
      <c r="R9">
        <v>2</v>
      </c>
      <c r="S9">
        <f t="shared" si="0"/>
        <v>8.0382569996631598E-2</v>
      </c>
      <c r="T9" s="26">
        <f t="shared" si="1"/>
        <v>3.4948943476796348</v>
      </c>
      <c r="U9" s="25">
        <f t="shared" ref="U9:U13" si="8">2*$K$7*$K$5*($K$6-S9)/2</f>
        <v>0.12084184848064185</v>
      </c>
      <c r="Y9" s="14"/>
      <c r="Z9">
        <v>4.17</v>
      </c>
      <c r="AA9">
        <v>2</v>
      </c>
      <c r="AB9">
        <v>8.0382569996631598E-2</v>
      </c>
      <c r="AC9">
        <v>3.49</v>
      </c>
      <c r="AD9" s="19">
        <v>0.12</v>
      </c>
    </row>
    <row r="10" spans="1:43" x14ac:dyDescent="0.25">
      <c r="A10" s="31" t="s">
        <v>6</v>
      </c>
      <c r="B10" s="10" t="s">
        <v>1</v>
      </c>
      <c r="C10" s="1">
        <v>2.96</v>
      </c>
      <c r="D10" s="2">
        <v>3.37</v>
      </c>
      <c r="E10" s="2">
        <v>3.87</v>
      </c>
      <c r="F10" s="2">
        <v>4.72</v>
      </c>
      <c r="G10" s="2">
        <v>5.12</v>
      </c>
      <c r="H10" s="3">
        <v>5.76</v>
      </c>
      <c r="P10" s="29"/>
      <c r="Q10" s="14">
        <v>4.7</v>
      </c>
      <c r="R10">
        <v>3</v>
      </c>
      <c r="S10">
        <f t="shared" si="0"/>
        <v>6.3377093707559964E-2</v>
      </c>
      <c r="T10" s="26">
        <f t="shared" si="1"/>
        <v>2.7555258133721723</v>
      </c>
      <c r="U10" s="25">
        <f t="shared" si="8"/>
        <v>0.12105305649615211</v>
      </c>
      <c r="Y10" s="14"/>
      <c r="Z10">
        <v>4.7</v>
      </c>
      <c r="AA10">
        <v>3</v>
      </c>
      <c r="AB10">
        <v>6.3377093707559964E-2</v>
      </c>
      <c r="AC10">
        <v>2.76</v>
      </c>
      <c r="AD10" s="19">
        <v>0.12</v>
      </c>
    </row>
    <row r="11" spans="1:43" x14ac:dyDescent="0.25">
      <c r="A11" s="32"/>
      <c r="B11" s="11" t="s">
        <v>2</v>
      </c>
      <c r="C11" s="4">
        <v>2.94</v>
      </c>
      <c r="D11" s="5">
        <v>3.47</v>
      </c>
      <c r="E11" s="5">
        <v>3.89</v>
      </c>
      <c r="F11" s="5">
        <v>4.57</v>
      </c>
      <c r="G11" s="5">
        <v>5.09</v>
      </c>
      <c r="H11" s="6">
        <v>5.66</v>
      </c>
      <c r="P11" s="29"/>
      <c r="Q11" s="14">
        <v>5.5333333333333341</v>
      </c>
      <c r="R11">
        <v>4</v>
      </c>
      <c r="S11">
        <f t="shared" si="0"/>
        <v>4.5725068950500783E-2</v>
      </c>
      <c r="T11" s="26">
        <f t="shared" si="1"/>
        <v>1.9880464761087298</v>
      </c>
      <c r="U11" s="25">
        <f t="shared" si="8"/>
        <v>0.12127229464363479</v>
      </c>
      <c r="Y11" s="14"/>
      <c r="Z11">
        <v>5.53</v>
      </c>
      <c r="AA11">
        <v>4</v>
      </c>
      <c r="AB11">
        <v>4.5725068950500783E-2</v>
      </c>
      <c r="AC11">
        <v>1.99</v>
      </c>
      <c r="AD11" s="19">
        <v>0.12</v>
      </c>
    </row>
    <row r="12" spans="1:43" x14ac:dyDescent="0.25">
      <c r="A12" s="32"/>
      <c r="B12" s="11" t="s">
        <v>3</v>
      </c>
      <c r="C12" s="4">
        <v>2.88</v>
      </c>
      <c r="D12" s="5">
        <v>3.36</v>
      </c>
      <c r="E12" s="5">
        <v>3.96</v>
      </c>
      <c r="F12" s="5">
        <v>4.41</v>
      </c>
      <c r="G12" s="5">
        <v>5.29</v>
      </c>
      <c r="H12" s="6">
        <v>5.79</v>
      </c>
      <c r="P12" s="29"/>
      <c r="Q12" s="14">
        <v>6.206666666666667</v>
      </c>
      <c r="R12">
        <v>5</v>
      </c>
      <c r="S12">
        <f t="shared" si="0"/>
        <v>3.634219813766424E-2</v>
      </c>
      <c r="T12" s="26">
        <f t="shared" si="1"/>
        <v>1.5800955712027931</v>
      </c>
      <c r="U12" s="25">
        <f t="shared" si="8"/>
        <v>0.12138882989913022</v>
      </c>
      <c r="Y12" s="14"/>
      <c r="Z12">
        <v>6.21</v>
      </c>
      <c r="AA12">
        <v>5</v>
      </c>
      <c r="AB12">
        <v>3.634219813766424E-2</v>
      </c>
      <c r="AC12">
        <v>1.58</v>
      </c>
      <c r="AD12" s="19">
        <v>0.12</v>
      </c>
    </row>
    <row r="13" spans="1:43" ht="15.75" thickBot="1" x14ac:dyDescent="0.3">
      <c r="A13" s="33"/>
      <c r="B13" s="12" t="s">
        <v>4</v>
      </c>
      <c r="C13" s="7">
        <f>(C10+C11+C12)/3</f>
        <v>2.9266666666666672</v>
      </c>
      <c r="D13" s="8">
        <f>(D10+D11+D12)/3</f>
        <v>3.4</v>
      </c>
      <c r="E13" s="8">
        <f t="shared" ref="E13" si="9">(E10+E11+E12)/3</f>
        <v>3.9066666666666663</v>
      </c>
      <c r="F13" s="8">
        <f t="shared" ref="F13" si="10">(F10+F11+F12)/3</f>
        <v>4.5666666666666664</v>
      </c>
      <c r="G13" s="8">
        <f t="shared" ref="G13" si="11">(G10+G11+G12)/3</f>
        <v>5.166666666666667</v>
      </c>
      <c r="H13" s="9">
        <f>(H10+H11+H12)/3</f>
        <v>5.7366666666666672</v>
      </c>
      <c r="P13" s="29"/>
      <c r="Q13" s="15">
        <v>6.9666666666666659</v>
      </c>
      <c r="R13" s="17">
        <v>6</v>
      </c>
      <c r="S13" s="17">
        <f t="shared" si="0"/>
        <v>2.8845493463977478E-2</v>
      </c>
      <c r="T13" s="27">
        <f t="shared" si="1"/>
        <v>1.2541518897381512</v>
      </c>
      <c r="U13" s="25">
        <f t="shared" si="8"/>
        <v>0.12148193897117741</v>
      </c>
      <c r="Y13" s="15"/>
      <c r="Z13" s="17">
        <v>6.97</v>
      </c>
      <c r="AA13" s="17">
        <v>6</v>
      </c>
      <c r="AB13" s="17">
        <v>2.8845493463977478E-2</v>
      </c>
      <c r="AC13" s="17">
        <v>1.25</v>
      </c>
      <c r="AD13" s="20">
        <v>0.12</v>
      </c>
    </row>
    <row r="14" spans="1:43" x14ac:dyDescent="0.25">
      <c r="A14" s="31" t="s">
        <v>7</v>
      </c>
      <c r="B14" s="10" t="s">
        <v>1</v>
      </c>
      <c r="C14" s="1">
        <v>2.59</v>
      </c>
      <c r="D14" s="2">
        <v>3.24</v>
      </c>
      <c r="E14" s="2">
        <v>3.51</v>
      </c>
      <c r="F14" s="2">
        <v>4.09</v>
      </c>
      <c r="G14" s="2">
        <v>4.74</v>
      </c>
      <c r="H14" s="3">
        <v>4.87</v>
      </c>
      <c r="P14" s="29" t="s">
        <v>6</v>
      </c>
      <c r="Q14" s="13">
        <v>2.9266666666666672</v>
      </c>
      <c r="R14" s="16">
        <v>1</v>
      </c>
      <c r="S14" s="16">
        <f t="shared" si="0"/>
        <v>0.16344871601953073</v>
      </c>
      <c r="T14" s="24">
        <f t="shared" si="1"/>
        <v>7.1064659138926407</v>
      </c>
      <c r="U14" s="25">
        <f>3*$K$7*$K$5*($K$6-S14)/2</f>
        <v>0.17971525042055617</v>
      </c>
      <c r="V14">
        <f>(K7*3*K5)*(K6-0.16)/2</f>
        <v>0.17977950000000001</v>
      </c>
      <c r="Y14" s="13" t="s">
        <v>6</v>
      </c>
      <c r="Z14" s="16">
        <v>2.93</v>
      </c>
      <c r="AA14" s="16">
        <v>1</v>
      </c>
      <c r="AB14" s="16">
        <v>0.16</v>
      </c>
      <c r="AC14" s="16">
        <v>7.11</v>
      </c>
      <c r="AD14" s="18">
        <v>0.18</v>
      </c>
      <c r="AE14">
        <v>0.17977950000000001</v>
      </c>
    </row>
    <row r="15" spans="1:43" x14ac:dyDescent="0.25">
      <c r="A15" s="32"/>
      <c r="B15" s="11" t="s">
        <v>2</v>
      </c>
      <c r="C15" s="4">
        <v>2.83</v>
      </c>
      <c r="D15" s="5">
        <v>2.94</v>
      </c>
      <c r="E15" s="5">
        <v>3.29</v>
      </c>
      <c r="F15" s="5">
        <v>4.09</v>
      </c>
      <c r="G15" s="5">
        <v>4.59</v>
      </c>
      <c r="H15" s="6">
        <v>5.07</v>
      </c>
      <c r="P15" s="29"/>
      <c r="Q15" s="14">
        <v>3.4</v>
      </c>
      <c r="R15">
        <v>2</v>
      </c>
      <c r="S15">
        <f t="shared" si="0"/>
        <v>0.12110726643598617</v>
      </c>
      <c r="T15" s="26">
        <f t="shared" si="1"/>
        <v>5.2655333233037469</v>
      </c>
      <c r="U15" s="25">
        <f t="shared" ref="U15:U19" si="12">3*$K$7*$K$5*($K$6-S15)/2</f>
        <v>0.18050407162629759</v>
      </c>
      <c r="Y15" s="14"/>
      <c r="Z15">
        <v>3.4</v>
      </c>
      <c r="AA15">
        <v>2</v>
      </c>
      <c r="AB15">
        <v>0.12110726643598617</v>
      </c>
      <c r="AC15">
        <v>5.27</v>
      </c>
      <c r="AD15" s="19">
        <v>0.18</v>
      </c>
    </row>
    <row r="16" spans="1:43" x14ac:dyDescent="0.25">
      <c r="A16" s="32"/>
      <c r="B16" s="11" t="s">
        <v>3</v>
      </c>
      <c r="C16" s="4">
        <v>2.46</v>
      </c>
      <c r="D16" s="5">
        <v>3.04</v>
      </c>
      <c r="E16" s="5">
        <v>3.44</v>
      </c>
      <c r="F16" s="5">
        <v>4.0599999999999996</v>
      </c>
      <c r="G16" s="5">
        <v>4.4400000000000004</v>
      </c>
      <c r="H16" s="6">
        <v>5.01</v>
      </c>
      <c r="P16" s="29"/>
      <c r="Q16" s="14">
        <v>3.9066666666666663</v>
      </c>
      <c r="R16">
        <v>3</v>
      </c>
      <c r="S16">
        <f t="shared" si="0"/>
        <v>9.1730829712634993E-2</v>
      </c>
      <c r="T16" s="26">
        <f t="shared" si="1"/>
        <v>3.9882969440276086</v>
      </c>
      <c r="U16" s="25">
        <f t="shared" si="12"/>
        <v>0.18105135464245364</v>
      </c>
      <c r="Y16" s="14"/>
      <c r="Z16">
        <v>3.9</v>
      </c>
      <c r="AA16">
        <v>3</v>
      </c>
      <c r="AB16">
        <v>9.1730829712634993E-2</v>
      </c>
      <c r="AC16">
        <v>3.99</v>
      </c>
      <c r="AD16" s="19">
        <v>0.18</v>
      </c>
    </row>
    <row r="17" spans="1:42" ht="15.75" thickBot="1" x14ac:dyDescent="0.3">
      <c r="A17" s="33"/>
      <c r="B17" s="12" t="s">
        <v>4</v>
      </c>
      <c r="C17" s="7">
        <f>(C14+C15+C16)/3</f>
        <v>2.6266666666666665</v>
      </c>
      <c r="D17" s="8">
        <f>(D14+D15+D16)/3</f>
        <v>3.0733333333333328</v>
      </c>
      <c r="E17" s="8">
        <f t="shared" ref="E17" si="13">(E14+E15+E16)/3</f>
        <v>3.4133333333333336</v>
      </c>
      <c r="F17" s="8">
        <f t="shared" ref="F17" si="14">(F14+F15+F16)/3</f>
        <v>4.0799999999999992</v>
      </c>
      <c r="G17" s="8">
        <f t="shared" ref="G17" si="15">(G14+G15+G16)/3</f>
        <v>4.59</v>
      </c>
      <c r="H17" s="9">
        <f>(H14+H15+H16)/3</f>
        <v>4.9833333333333334</v>
      </c>
      <c r="P17" s="29"/>
      <c r="Q17" s="14">
        <v>4.5666666666666664</v>
      </c>
      <c r="R17">
        <v>4</v>
      </c>
      <c r="S17">
        <f t="shared" si="0"/>
        <v>6.7131972934093453E-2</v>
      </c>
      <c r="T17" s="26">
        <f t="shared" si="1"/>
        <v>2.9187814319171066</v>
      </c>
      <c r="U17" s="25">
        <f t="shared" si="12"/>
        <v>0.18150963134423784</v>
      </c>
      <c r="Y17" s="14"/>
      <c r="Z17">
        <v>4.57</v>
      </c>
      <c r="AA17">
        <v>4</v>
      </c>
      <c r="AB17">
        <v>6.7131972934093453E-2</v>
      </c>
      <c r="AC17">
        <v>2.92</v>
      </c>
      <c r="AD17" s="19">
        <v>0.18</v>
      </c>
    </row>
    <row r="18" spans="1:42" x14ac:dyDescent="0.25">
      <c r="P18" s="29"/>
      <c r="Q18" s="14">
        <v>5.166666666666667</v>
      </c>
      <c r="R18">
        <v>5</v>
      </c>
      <c r="S18">
        <f t="shared" si="0"/>
        <v>5.2445369406867837E-2</v>
      </c>
      <c r="T18" s="26">
        <f t="shared" si="1"/>
        <v>2.2802334524725145</v>
      </c>
      <c r="U18" s="25">
        <f t="shared" si="12"/>
        <v>0.18178324276795005</v>
      </c>
      <c r="Y18" s="14"/>
      <c r="Z18">
        <v>5.17</v>
      </c>
      <c r="AA18">
        <v>5</v>
      </c>
      <c r="AB18">
        <v>5.2445369406867837E-2</v>
      </c>
      <c r="AC18">
        <v>2.2799999999999998</v>
      </c>
      <c r="AD18" s="19">
        <v>0.18</v>
      </c>
    </row>
    <row r="19" spans="1:42" x14ac:dyDescent="0.25">
      <c r="P19" s="29"/>
      <c r="Q19" s="15">
        <v>5.7366666666666672</v>
      </c>
      <c r="R19" s="17">
        <v>6</v>
      </c>
      <c r="S19">
        <f t="shared" si="0"/>
        <v>4.2541108722581655E-2</v>
      </c>
      <c r="T19" s="26">
        <f t="shared" si="1"/>
        <v>1.8496134227209415</v>
      </c>
      <c r="U19" s="25">
        <f t="shared" si="12"/>
        <v>0.18196775914449834</v>
      </c>
      <c r="Y19" s="15"/>
      <c r="Z19" s="17">
        <v>5.74</v>
      </c>
      <c r="AA19" s="17">
        <v>6</v>
      </c>
      <c r="AB19" s="17">
        <v>4.2541108722581655E-2</v>
      </c>
      <c r="AC19" s="17">
        <v>1.85</v>
      </c>
      <c r="AD19" s="20">
        <v>0.18</v>
      </c>
    </row>
    <row r="20" spans="1:42" x14ac:dyDescent="0.25">
      <c r="P20" s="29" t="s">
        <v>7</v>
      </c>
      <c r="Q20" s="13">
        <v>2.6266666666666665</v>
      </c>
      <c r="R20" s="16">
        <v>1</v>
      </c>
      <c r="S20" s="16">
        <f t="shared" si="0"/>
        <v>0.20291684918446753</v>
      </c>
      <c r="T20" s="24">
        <f t="shared" si="1"/>
        <v>8.8224717036725018</v>
      </c>
      <c r="U20" s="25">
        <f>4*$K$7*$K$5*($K$6-S20)/2</f>
        <v>0.23863994546625786</v>
      </c>
      <c r="V20">
        <f>(K7*4*K5)*(K6-0.2)/2</f>
        <v>0.23871240000000005</v>
      </c>
      <c r="Y20" s="13" t="s">
        <v>7</v>
      </c>
      <c r="Z20" s="16">
        <v>2.63</v>
      </c>
      <c r="AA20" s="16">
        <v>1</v>
      </c>
      <c r="AB20" s="16">
        <v>0.20291684918446753</v>
      </c>
      <c r="AC20" s="16">
        <v>8.82</v>
      </c>
      <c r="AD20" s="18">
        <v>0.24</v>
      </c>
      <c r="AE20">
        <v>0.23871240000000005</v>
      </c>
    </row>
    <row r="21" spans="1:42" x14ac:dyDescent="0.25">
      <c r="P21" s="29"/>
      <c r="Q21" s="14">
        <v>3.0733333333333328</v>
      </c>
      <c r="R21">
        <v>2</v>
      </c>
      <c r="S21">
        <f t="shared" si="0"/>
        <v>0.14822064643023516</v>
      </c>
      <c r="T21" s="26">
        <f t="shared" si="1"/>
        <v>6.444375931749355</v>
      </c>
      <c r="U21" s="25">
        <f t="shared" ref="U21:U25" si="16">4*$K$7*$K$5*($K$6-S21)/2</f>
        <v>0.23999859914267296</v>
      </c>
      <c r="Y21" s="14"/>
      <c r="Z21">
        <v>3.07</v>
      </c>
      <c r="AA21">
        <v>2</v>
      </c>
      <c r="AB21">
        <v>0.14822064643023516</v>
      </c>
      <c r="AC21">
        <v>6.44</v>
      </c>
      <c r="AD21" s="19">
        <v>0.24</v>
      </c>
    </row>
    <row r="22" spans="1:42" x14ac:dyDescent="0.25">
      <c r="P22" s="29"/>
      <c r="Q22" s="14">
        <v>3.4133333333333336</v>
      </c>
      <c r="R22">
        <v>3</v>
      </c>
      <c r="S22">
        <f t="shared" si="0"/>
        <v>0.12016296386718747</v>
      </c>
      <c r="T22" s="26">
        <f t="shared" si="1"/>
        <v>5.224476689877716</v>
      </c>
      <c r="U22" s="25">
        <f t="shared" si="16"/>
        <v>0.24069555197753909</v>
      </c>
      <c r="Y22" s="14"/>
      <c r="Z22">
        <v>3.41</v>
      </c>
      <c r="AA22">
        <v>3</v>
      </c>
      <c r="AB22">
        <v>0.12016296386718747</v>
      </c>
      <c r="AC22">
        <v>5.22</v>
      </c>
      <c r="AD22" s="19">
        <v>0.24</v>
      </c>
    </row>
    <row r="23" spans="1:42" x14ac:dyDescent="0.25">
      <c r="P23" s="29"/>
      <c r="Q23" s="14">
        <v>4.0799999999999992</v>
      </c>
      <c r="R23">
        <v>4</v>
      </c>
      <c r="S23">
        <f t="shared" si="0"/>
        <v>8.4102268358323753E-2</v>
      </c>
      <c r="T23" s="26">
        <f t="shared" si="1"/>
        <v>3.6566203634053807</v>
      </c>
      <c r="U23" s="25">
        <f t="shared" si="16"/>
        <v>0.24159129965397927</v>
      </c>
      <c r="Y23" s="14"/>
      <c r="Z23">
        <v>4.0799999999999992</v>
      </c>
      <c r="AA23">
        <v>4</v>
      </c>
      <c r="AB23">
        <v>8.4102268358323753E-2</v>
      </c>
      <c r="AC23">
        <v>3.66</v>
      </c>
      <c r="AD23" s="19">
        <v>0.24</v>
      </c>
    </row>
    <row r="24" spans="1:42" x14ac:dyDescent="0.25">
      <c r="P24" s="29"/>
      <c r="Q24" s="14">
        <v>4.59</v>
      </c>
      <c r="R24">
        <v>5</v>
      </c>
      <c r="S24">
        <f t="shared" si="0"/>
        <v>6.645117499916936E-2</v>
      </c>
      <c r="T24" s="26">
        <f t="shared" si="1"/>
        <v>2.8891815217030157</v>
      </c>
      <c r="U24" s="25">
        <f t="shared" si="16"/>
        <v>0.24202975281302064</v>
      </c>
      <c r="Y24" s="14"/>
      <c r="Z24">
        <v>4.59</v>
      </c>
      <c r="AA24">
        <v>5</v>
      </c>
      <c r="AB24">
        <v>6.645117499916936E-2</v>
      </c>
      <c r="AC24">
        <v>2.89</v>
      </c>
      <c r="AD24" s="19">
        <v>0.24</v>
      </c>
    </row>
    <row r="25" spans="1:42" x14ac:dyDescent="0.25">
      <c r="P25" s="29"/>
      <c r="Q25" s="15">
        <v>4.9833333333333334</v>
      </c>
      <c r="R25" s="17">
        <v>6</v>
      </c>
      <c r="S25" s="17">
        <f t="shared" si="0"/>
        <v>5.6375208331003006E-2</v>
      </c>
      <c r="T25" s="27">
        <f t="shared" si="1"/>
        <v>2.4510960143914349</v>
      </c>
      <c r="U25" s="25">
        <f t="shared" si="16"/>
        <v>0.24228003982505791</v>
      </c>
      <c r="Y25" s="15"/>
      <c r="Z25" s="17">
        <v>4.9800000000000004</v>
      </c>
      <c r="AA25" s="17">
        <v>6</v>
      </c>
      <c r="AB25" s="17">
        <v>5.6375208331003006E-2</v>
      </c>
      <c r="AC25" s="17">
        <v>2.4500000000000002</v>
      </c>
      <c r="AD25" s="20">
        <v>0.24</v>
      </c>
    </row>
    <row r="28" spans="1:42" x14ac:dyDescent="0.25">
      <c r="X28" t="s">
        <v>9</v>
      </c>
      <c r="Y28" t="s">
        <v>27</v>
      </c>
      <c r="Z28" t="s">
        <v>11</v>
      </c>
      <c r="AA28" t="s">
        <v>42</v>
      </c>
      <c r="AB28" t="s">
        <v>9</v>
      </c>
      <c r="AC28" t="s">
        <v>23</v>
      </c>
      <c r="AD28" t="s">
        <v>24</v>
      </c>
      <c r="AE28" t="s">
        <v>25</v>
      </c>
      <c r="AH28" t="s">
        <v>9</v>
      </c>
      <c r="AI28" t="s">
        <v>23</v>
      </c>
      <c r="AJ28" t="s">
        <v>29</v>
      </c>
      <c r="AK28" t="s">
        <v>30</v>
      </c>
      <c r="AL28" t="s">
        <v>41</v>
      </c>
      <c r="AM28" t="s">
        <v>40</v>
      </c>
      <c r="AN28" t="s">
        <v>39</v>
      </c>
      <c r="AO28" t="s">
        <v>30</v>
      </c>
      <c r="AP28" t="s">
        <v>23</v>
      </c>
    </row>
    <row r="29" spans="1:42" x14ac:dyDescent="0.25">
      <c r="X29">
        <v>1</v>
      </c>
      <c r="Y29">
        <f>AC2</f>
        <v>2.54</v>
      </c>
      <c r="Z29">
        <f>AD2</f>
        <v>0.06</v>
      </c>
      <c r="AA29">
        <f>$AD$29+$AC$29*Y29</f>
        <v>5.8437363423258795E-2</v>
      </c>
      <c r="AB29">
        <v>1</v>
      </c>
      <c r="AC29">
        <f>SLOPE(Z29:Z32,Y29:Y32)</f>
        <v>2.8129842266279941E-2</v>
      </c>
      <c r="AD29">
        <f>INTERCEPT(Z29:Z32,Y29:Y32)</f>
        <v>-1.3012435933092259E-2</v>
      </c>
      <c r="AE29">
        <f>AVERAGE(Z29:Z32)</f>
        <v>0.15</v>
      </c>
      <c r="AH29">
        <v>1</v>
      </c>
      <c r="AI29">
        <v>2.8129842266279941E-2</v>
      </c>
      <c r="AJ29">
        <f>$AF$38+(AH29-1)*$AF$39+$AF$40/2</f>
        <v>7.6999999999999999E-2</v>
      </c>
      <c r="AK29">
        <f>AJ29*AJ29</f>
        <v>5.9290000000000002E-3</v>
      </c>
      <c r="AL29">
        <f>AI29-($AN$29+$AM$29*AK29)</f>
        <v>-5.1646476510444628E-4</v>
      </c>
      <c r="AM29" cm="1">
        <f t="array" ref="AM29:AN33">LINEST(AI29:AI34,AK29:AK34,TRUE,TRUE)</f>
        <v>2.1810612678184125</v>
      </c>
      <c r="AN29">
        <v>1.5714794774489019E-2</v>
      </c>
      <c r="AO29">
        <v>5.9290000000000002E-3</v>
      </c>
      <c r="AP29">
        <f>$AM$29*AO29+$AN$29</f>
        <v>2.8646307031384387E-2</v>
      </c>
    </row>
    <row r="30" spans="1:42" x14ac:dyDescent="0.25">
      <c r="Y30">
        <f>AC8</f>
        <v>4.71</v>
      </c>
      <c r="Z30">
        <f>AD8</f>
        <v>0.12</v>
      </c>
      <c r="AA30">
        <f t="shared" ref="AA30:AA32" si="17">$AD$29+$AC$29*Y30</f>
        <v>0.11947912114108628</v>
      </c>
      <c r="AB30">
        <v>2</v>
      </c>
      <c r="AC30">
        <f>SLOPE(Z33:Z36,Y33:Y36)</f>
        <v>3.8712596676749811E-2</v>
      </c>
      <c r="AD30">
        <f>INTERCEPT(Z33:Z36,Y33:Y36)</f>
        <v>-1.5496350793105462E-2</v>
      </c>
      <c r="AE30">
        <f>AVERAGE(Z33:Z36)</f>
        <v>0.15</v>
      </c>
      <c r="AH30">
        <v>2</v>
      </c>
      <c r="AI30">
        <v>3.8712596676749811E-2</v>
      </c>
      <c r="AJ30">
        <f t="shared" ref="AJ30:AJ34" si="18">$AF$38+(AH30-1)*$AF$39+$AF$40/2</f>
        <v>0.10200000000000001</v>
      </c>
      <c r="AK30">
        <f t="shared" ref="AK30:AK34" si="19">AJ30*AJ30</f>
        <v>1.0404000000000002E-2</v>
      </c>
      <c r="AL30">
        <f t="shared" ref="AL30:AL34" si="20">AI30-($AN$29+$AM$29*AK30)</f>
        <v>3.0604047187802325E-4</v>
      </c>
      <c r="AM30">
        <v>0.10358092488849316</v>
      </c>
      <c r="AN30">
        <v>2.5314919410509063E-3</v>
      </c>
      <c r="AO30">
        <v>1.0404000000000002E-2</v>
      </c>
      <c r="AP30">
        <f t="shared" ref="AP30:AP34" si="21">$AM$29*AO30+$AN$29</f>
        <v>3.8406556204871788E-2</v>
      </c>
    </row>
    <row r="31" spans="1:42" x14ac:dyDescent="0.25">
      <c r="Y31">
        <f>AC14</f>
        <v>7.11</v>
      </c>
      <c r="Z31">
        <f>AD14</f>
        <v>0.18</v>
      </c>
      <c r="AA31">
        <f t="shared" si="17"/>
        <v>0.18699074258015813</v>
      </c>
      <c r="AB31">
        <v>3</v>
      </c>
      <c r="AC31">
        <f>SLOPE(Z37:Z40,Y37:Y40)</f>
        <v>4.8424446724314819E-2</v>
      </c>
      <c r="AD31">
        <f>INTERCEPT(Z37:Z40,Y37:Y40)</f>
        <v>-1.3069324344130134E-2</v>
      </c>
      <c r="AE31">
        <f>AVERAGE(Z37:Z40)</f>
        <v>0.15</v>
      </c>
      <c r="AH31">
        <v>3</v>
      </c>
      <c r="AI31">
        <v>4.8424446724314819E-2</v>
      </c>
      <c r="AJ31">
        <f t="shared" si="18"/>
        <v>0.127</v>
      </c>
      <c r="AK31">
        <f t="shared" si="19"/>
        <v>1.6129000000000001E-2</v>
      </c>
      <c r="AL31">
        <f t="shared" si="20"/>
        <v>-2.4686852388173738E-3</v>
      </c>
      <c r="AM31">
        <v>0.99105905622105483</v>
      </c>
      <c r="AN31">
        <v>3.0481127333449099E-3</v>
      </c>
      <c r="AO31">
        <v>1.6129000000000001E-2</v>
      </c>
      <c r="AP31">
        <f t="shared" si="21"/>
        <v>5.0893131963132193E-2</v>
      </c>
    </row>
    <row r="32" spans="1:42" x14ac:dyDescent="0.25">
      <c r="Y32">
        <f>AC20</f>
        <v>8.82</v>
      </c>
      <c r="Z32">
        <f>AD20</f>
        <v>0.24</v>
      </c>
      <c r="AA32">
        <f t="shared" si="17"/>
        <v>0.23509277285549682</v>
      </c>
      <c r="AB32">
        <v>4</v>
      </c>
      <c r="AC32">
        <f>SLOPE(Z41:Z44,Y41:Y44)</f>
        <v>6.7794004611837044E-2</v>
      </c>
      <c r="AD32">
        <f>INTERCEPT(Z41:Z44,Y41:Y44)</f>
        <v>-1.2705611068408895E-2</v>
      </c>
      <c r="AE32">
        <f>AVERAGE(Z41:Z44)</f>
        <v>0.15</v>
      </c>
      <c r="AH32">
        <v>4</v>
      </c>
      <c r="AI32">
        <v>6.7794004611837044E-2</v>
      </c>
      <c r="AJ32">
        <f t="shared" si="18"/>
        <v>0.152</v>
      </c>
      <c r="AK32">
        <f t="shared" si="19"/>
        <v>2.3104E-2</v>
      </c>
      <c r="AL32">
        <f t="shared" si="20"/>
        <v>1.6879703056714157E-3</v>
      </c>
      <c r="AM32">
        <v>443.38006399497675</v>
      </c>
      <c r="AN32">
        <v>4</v>
      </c>
      <c r="AO32">
        <v>2.3104E-2</v>
      </c>
      <c r="AP32">
        <f t="shared" si="21"/>
        <v>6.6106034306165629E-2</v>
      </c>
    </row>
    <row r="33" spans="9:42" x14ac:dyDescent="0.25">
      <c r="X33">
        <v>2</v>
      </c>
      <c r="Y33">
        <f>AC3</f>
        <v>1.9</v>
      </c>
      <c r="Z33">
        <f>AD2</f>
        <v>0.06</v>
      </c>
      <c r="AA33">
        <f>$AD$30+$AC$30*Y33</f>
        <v>5.8057582892719173E-2</v>
      </c>
      <c r="AB33">
        <v>5</v>
      </c>
      <c r="AC33">
        <f>SLOPE(Z45:Z48,Y45:Y48)</f>
        <v>8.8240071908944187E-2</v>
      </c>
      <c r="AD33">
        <f>INTERCEPT(Z45:Z48,Y45:Y48)</f>
        <v>-1.7876736806766297E-2</v>
      </c>
      <c r="AE33">
        <f>AVERAGE(Z45:Z48)</f>
        <v>0.15</v>
      </c>
      <c r="AH33">
        <v>5</v>
      </c>
      <c r="AI33">
        <v>8.8240071908944187E-2</v>
      </c>
      <c r="AJ33">
        <f t="shared" si="18"/>
        <v>0.17699999999999999</v>
      </c>
      <c r="AK33">
        <f t="shared" si="19"/>
        <v>3.1328999999999996E-2</v>
      </c>
      <c r="AL33">
        <f t="shared" si="20"/>
        <v>4.1948086749721281E-3</v>
      </c>
      <c r="AM33">
        <v>4.1194402884306008E-3</v>
      </c>
      <c r="AN33">
        <v>3.7163964940717515E-5</v>
      </c>
      <c r="AO33">
        <v>3.1328999999999996E-2</v>
      </c>
      <c r="AP33">
        <f t="shared" si="21"/>
        <v>8.4045263233972059E-2</v>
      </c>
    </row>
    <row r="34" spans="9:42" x14ac:dyDescent="0.25">
      <c r="Y34">
        <f>AC9</f>
        <v>3.49</v>
      </c>
      <c r="Z34">
        <f>AD9</f>
        <v>0.12</v>
      </c>
      <c r="AA34">
        <f t="shared" ref="AA34:AA36" si="22">$AD$30+$AC$30*Y34</f>
        <v>0.11961061160875139</v>
      </c>
      <c r="AB34">
        <v>6</v>
      </c>
      <c r="AC34">
        <f>SLOPE(Z49:Z52,Y49:Y52)</f>
        <v>0.10150714929795182</v>
      </c>
      <c r="AD34">
        <f>INTERCEPT(Z49:Z52,Y49:Y52)</f>
        <v>-8.0973850315599893E-3</v>
      </c>
      <c r="AE34">
        <f>AVERAGE(Z49:Z52)</f>
        <v>0.15</v>
      </c>
      <c r="AH34">
        <v>6</v>
      </c>
      <c r="AI34">
        <v>0.10150714929795182</v>
      </c>
      <c r="AJ34">
        <f t="shared" si="18"/>
        <v>0.20199999999999999</v>
      </c>
      <c r="AK34">
        <f t="shared" si="19"/>
        <v>4.0803999999999993E-2</v>
      </c>
      <c r="AL34">
        <f t="shared" si="20"/>
        <v>-3.2036694485996914E-3</v>
      </c>
      <c r="AO34">
        <v>4.0803999999999993E-2</v>
      </c>
      <c r="AP34">
        <f t="shared" si="21"/>
        <v>0.10471081874655151</v>
      </c>
    </row>
    <row r="35" spans="9:42" x14ac:dyDescent="0.25">
      <c r="Y35">
        <f>AC15</f>
        <v>5.27</v>
      </c>
      <c r="Z35">
        <f>AD15</f>
        <v>0.18</v>
      </c>
      <c r="AA35">
        <f t="shared" si="22"/>
        <v>0.18851903369336603</v>
      </c>
    </row>
    <row r="36" spans="9:42" x14ac:dyDescent="0.25">
      <c r="Y36">
        <f>AC21</f>
        <v>6.44</v>
      </c>
      <c r="Z36">
        <f>AD21</f>
        <v>0.24</v>
      </c>
      <c r="AA36">
        <f t="shared" si="22"/>
        <v>0.23381277180516333</v>
      </c>
    </row>
    <row r="37" spans="9:42" x14ac:dyDescent="0.25">
      <c r="X37">
        <v>3</v>
      </c>
      <c r="Y37">
        <f>AC4</f>
        <v>1.5</v>
      </c>
      <c r="Z37">
        <f>AD4</f>
        <v>0.06</v>
      </c>
      <c r="AA37">
        <f>$AD$31+$AC$31*Y37</f>
        <v>5.9567345742342098E-2</v>
      </c>
    </row>
    <row r="38" spans="9:42" x14ac:dyDescent="0.25">
      <c r="I38" t="s">
        <v>28</v>
      </c>
      <c r="Y38">
        <f>AC10</f>
        <v>2.76</v>
      </c>
      <c r="Z38">
        <f>AD10</f>
        <v>0.12</v>
      </c>
      <c r="AA38">
        <f t="shared" ref="AA38:AA39" si="23">$AD$31+$AC$31*Y38</f>
        <v>0.12058214861497876</v>
      </c>
      <c r="AE38" s="13" t="s">
        <v>31</v>
      </c>
      <c r="AF38" s="18">
        <v>5.7000000000000002E-2</v>
      </c>
      <c r="AI38" t="s">
        <v>34</v>
      </c>
    </row>
    <row r="39" spans="9:42" x14ac:dyDescent="0.25">
      <c r="Y39">
        <f>AC16</f>
        <v>3.99</v>
      </c>
      <c r="Z39">
        <f>AD16</f>
        <v>0.18</v>
      </c>
      <c r="AA39">
        <f t="shared" si="23"/>
        <v>0.18014421808588602</v>
      </c>
      <c r="AE39" s="14" t="s">
        <v>32</v>
      </c>
      <c r="AF39" s="19">
        <v>2.5000000000000001E-2</v>
      </c>
    </row>
    <row r="40" spans="9:42" x14ac:dyDescent="0.25">
      <c r="Y40">
        <f>AC22</f>
        <v>5.22</v>
      </c>
      <c r="Z40">
        <f>AD22</f>
        <v>0.24</v>
      </c>
      <c r="AA40">
        <f>$AD$31+$AC$31*Y40</f>
        <v>0.23970628755679321</v>
      </c>
      <c r="AE40" s="15" t="s">
        <v>33</v>
      </c>
      <c r="AF40" s="20">
        <v>0.04</v>
      </c>
    </row>
    <row r="41" spans="9:42" x14ac:dyDescent="0.25">
      <c r="X41">
        <v>4</v>
      </c>
      <c r="Y41">
        <f>AC5</f>
        <v>1.03</v>
      </c>
      <c r="Z41">
        <f>AD5</f>
        <v>0.06</v>
      </c>
      <c r="AA41">
        <f>$AD$32+$AC$32*Y41</f>
        <v>5.712221368178326E-2</v>
      </c>
      <c r="AN41" t="s">
        <v>30</v>
      </c>
      <c r="AO41" t="s">
        <v>44</v>
      </c>
      <c r="AP41" s="28" t="s">
        <v>43</v>
      </c>
    </row>
    <row r="42" spans="9:42" x14ac:dyDescent="0.25">
      <c r="Y42">
        <f>AC11</f>
        <v>1.99</v>
      </c>
      <c r="Z42">
        <f>AD11</f>
        <v>0.12</v>
      </c>
      <c r="AA42">
        <f t="shared" ref="AA42:AA44" si="24">$AD$32+$AC$32*Y42</f>
        <v>0.12220445810914682</v>
      </c>
      <c r="AB42">
        <f>0.169</f>
        <v>0.16900000000000001</v>
      </c>
      <c r="AC42">
        <f>0.0007</f>
        <v>6.9999999999999999E-4</v>
      </c>
      <c r="AN42">
        <v>5.9290000000000002E-3</v>
      </c>
      <c r="AO42">
        <f>(AN42-AVERAGE($AN$42:$AN$47))^2</f>
        <v>2.3575043402777784E-4</v>
      </c>
      <c r="AP42" s="28">
        <f>SUM(AO42:AO47)</f>
        <v>8.6596927083333294E-4</v>
      </c>
    </row>
    <row r="43" spans="9:42" x14ac:dyDescent="0.25">
      <c r="Y43">
        <f>AC17</f>
        <v>2.92</v>
      </c>
      <c r="Z43">
        <f>AD17</f>
        <v>0.18</v>
      </c>
      <c r="AA43">
        <f t="shared" si="24"/>
        <v>0.18525288239815527</v>
      </c>
      <c r="AB43">
        <f>0</f>
        <v>0</v>
      </c>
      <c r="AC43">
        <f>0</f>
        <v>0</v>
      </c>
      <c r="AE43" t="s">
        <v>35</v>
      </c>
      <c r="AF43">
        <v>5.0000000000000001E-4</v>
      </c>
      <c r="AN43">
        <v>1.0404000000000002E-2</v>
      </c>
      <c r="AO43">
        <f t="shared" ref="AO43:AO47" si="25">(AN43-AVERAGE($AN$42:$AN$47))^2</f>
        <v>1.1835626736111112E-4</v>
      </c>
    </row>
    <row r="44" spans="9:42" x14ac:dyDescent="0.25">
      <c r="Y44">
        <f>AC23</f>
        <v>3.66</v>
      </c>
      <c r="Z44">
        <f>AD23</f>
        <v>0.24</v>
      </c>
      <c r="AA44">
        <f t="shared" si="24"/>
        <v>0.2354204458109147</v>
      </c>
      <c r="AB44">
        <f>0</f>
        <v>0</v>
      </c>
      <c r="AC44">
        <f>0</f>
        <v>0</v>
      </c>
      <c r="AE44" t="s">
        <v>36</v>
      </c>
      <c r="AF44">
        <v>0.01</v>
      </c>
      <c r="AH44" t="s">
        <v>12</v>
      </c>
      <c r="AI44">
        <v>2.4161300000000001E-4</v>
      </c>
      <c r="AJ44">
        <v>0.16871800000000001</v>
      </c>
      <c r="AK44">
        <f>0.00066761</f>
        <v>6.6761000000000001E-4</v>
      </c>
      <c r="AN44">
        <v>1.6129000000000001E-2</v>
      </c>
      <c r="AO44">
        <f t="shared" si="25"/>
        <v>2.6565434027777793E-5</v>
      </c>
    </row>
    <row r="45" spans="9:42" x14ac:dyDescent="0.25">
      <c r="X45">
        <v>5</v>
      </c>
      <c r="Y45">
        <f>AC6</f>
        <v>0.86</v>
      </c>
      <c r="Z45">
        <f>AD6</f>
        <v>0.06</v>
      </c>
      <c r="AA45">
        <f>$AD$33+$AC$33*Y45</f>
        <v>5.8009725034925699E-2</v>
      </c>
      <c r="AB45">
        <f>0</f>
        <v>0</v>
      </c>
      <c r="AC45">
        <f>0</f>
        <v>0</v>
      </c>
      <c r="AE45" t="s">
        <v>37</v>
      </c>
      <c r="AF45">
        <v>5.0000000000000001E-4</v>
      </c>
      <c r="AN45">
        <v>2.3104E-2</v>
      </c>
      <c r="AO45">
        <f t="shared" si="25"/>
        <v>3.3154340277777676E-6</v>
      </c>
    </row>
    <row r="46" spans="9:42" x14ac:dyDescent="0.25">
      <c r="Y46">
        <f>AC12</f>
        <v>1.58</v>
      </c>
      <c r="Z46">
        <f>AD12</f>
        <v>0.12</v>
      </c>
      <c r="AA46">
        <f t="shared" ref="AA46:AA48" si="26">$AD$33+$AC$33*Y46</f>
        <v>0.12154257680936553</v>
      </c>
      <c r="AE46" t="s">
        <v>38</v>
      </c>
      <c r="AF46">
        <v>5.0000000000000001E-4</v>
      </c>
      <c r="AN46">
        <v>3.1328999999999996E-2</v>
      </c>
      <c r="AO46">
        <f t="shared" si="25"/>
        <v>1.0091876736111099E-4</v>
      </c>
    </row>
    <row r="47" spans="9:42" x14ac:dyDescent="0.25">
      <c r="Y47">
        <f>AC18</f>
        <v>2.2799999999999998</v>
      </c>
      <c r="Z47">
        <f>AD18</f>
        <v>0.18</v>
      </c>
      <c r="AA47">
        <f t="shared" si="26"/>
        <v>0.18331062714562643</v>
      </c>
      <c r="AN47">
        <v>4.0803999999999993E-2</v>
      </c>
      <c r="AO47">
        <f t="shared" si="25"/>
        <v>3.8106293402777742E-4</v>
      </c>
    </row>
    <row r="48" spans="9:42" x14ac:dyDescent="0.25">
      <c r="Y48">
        <f>AC24</f>
        <v>2.89</v>
      </c>
      <c r="Z48">
        <f>AD24</f>
        <v>0.24</v>
      </c>
      <c r="AA48">
        <f t="shared" si="26"/>
        <v>0.23713707101008244</v>
      </c>
    </row>
    <row r="49" spans="24:39" x14ac:dyDescent="0.25">
      <c r="X49">
        <v>6</v>
      </c>
      <c r="Y49">
        <f>AC7</f>
        <v>0.68</v>
      </c>
      <c r="Z49">
        <f>AD7</f>
        <v>0.06</v>
      </c>
      <c r="AA49">
        <f>$AD$34+$AC$34*Y49</f>
        <v>6.0927476491047253E-2</v>
      </c>
    </row>
    <row r="50" spans="24:39" x14ac:dyDescent="0.25">
      <c r="Y50">
        <f>AC13</f>
        <v>1.25</v>
      </c>
      <c r="Z50">
        <f>AD13</f>
        <v>0.12</v>
      </c>
      <c r="AA50">
        <f t="shared" ref="AA50:AA52" si="27">$AD$34+$AC$34*Y50</f>
        <v>0.11878655159087978</v>
      </c>
      <c r="AM50" t="s">
        <v>45</v>
      </c>
    </row>
    <row r="51" spans="24:39" x14ac:dyDescent="0.25">
      <c r="Y51">
        <f>AC19</f>
        <v>1.85</v>
      </c>
      <c r="Z51">
        <f>AD19</f>
        <v>0.18</v>
      </c>
      <c r="AA51">
        <f t="shared" si="27"/>
        <v>0.17969084116965089</v>
      </c>
    </row>
    <row r="52" spans="24:39" x14ac:dyDescent="0.25">
      <c r="Y52">
        <f>AC25</f>
        <v>2.4500000000000002</v>
      </c>
      <c r="Z52">
        <f>AD25</f>
        <v>0.24</v>
      </c>
      <c r="AA52">
        <f t="shared" si="27"/>
        <v>0.24059513074842198</v>
      </c>
    </row>
  </sheetData>
  <mergeCells count="9">
    <mergeCell ref="P20:P25"/>
    <mergeCell ref="AL1:AQ1"/>
    <mergeCell ref="A14:A17"/>
    <mergeCell ref="A10:A13"/>
    <mergeCell ref="A6:A9"/>
    <mergeCell ref="A2:A5"/>
    <mergeCell ref="P2:P7"/>
    <mergeCell ref="P8:P13"/>
    <mergeCell ref="P14:P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Prosto Svetochka</dc:creator>
  <cp:lastModifiedBy>Андрей Зыков</cp:lastModifiedBy>
  <dcterms:created xsi:type="dcterms:W3CDTF">2025-10-16T19:26:53Z</dcterms:created>
  <dcterms:modified xsi:type="dcterms:W3CDTF">2025-10-23T18:49:17Z</dcterms:modified>
</cp:coreProperties>
</file>