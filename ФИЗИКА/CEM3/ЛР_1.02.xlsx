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документы.учеба\"/>
    </mc:Choice>
  </mc:AlternateContent>
  <xr:revisionPtr revIDLastSave="0" documentId="8_{104802D0-2D1D-41DB-AA3F-42F8EB558110}" xr6:coauthVersionLast="47" xr6:coauthVersionMax="47" xr10:uidLastSave="{00000000-0000-0000-0000-000000000000}"/>
  <bookViews>
    <workbookView xWindow="-120" yWindow="-120" windowWidth="38640" windowHeight="21120" xr2:uid="{018F69C6-7C2D-4C7F-9691-95DE98449D2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2" l="1"/>
  <c r="D13" i="1"/>
  <c r="D49" i="2"/>
  <c r="D50" i="2"/>
  <c r="D51" i="2"/>
  <c r="D52" i="2"/>
  <c r="D17" i="1"/>
  <c r="D16" i="1"/>
  <c r="D15" i="1"/>
  <c r="D14" i="1"/>
  <c r="E30" i="2"/>
  <c r="F30" i="2" s="1"/>
  <c r="D29" i="2"/>
  <c r="G29" i="2" s="1"/>
  <c r="S12" i="2"/>
  <c r="D31" i="2" s="1"/>
  <c r="S2" i="2"/>
  <c r="K2" i="2"/>
  <c r="N2" i="2" s="1"/>
  <c r="P2" i="2" s="1"/>
  <c r="R2" i="2" s="1"/>
  <c r="I23" i="2"/>
  <c r="H23" i="2"/>
  <c r="H25" i="2"/>
  <c r="H26" i="2"/>
  <c r="H18" i="2"/>
  <c r="H19" i="2"/>
  <c r="H20" i="2"/>
  <c r="H21" i="2"/>
  <c r="H17" i="2"/>
  <c r="J17" i="2" s="1"/>
  <c r="M17" i="2" s="1"/>
  <c r="O17" i="2" s="1"/>
  <c r="Q17" i="2" s="1"/>
  <c r="H13" i="2"/>
  <c r="I13" i="2"/>
  <c r="I12" i="2"/>
  <c r="I14" i="2"/>
  <c r="I16" i="2"/>
  <c r="H12" i="2"/>
  <c r="H11" i="2"/>
  <c r="H7" i="2"/>
  <c r="H4" i="2"/>
  <c r="I4" i="2"/>
  <c r="I3" i="2"/>
  <c r="I2" i="2"/>
  <c r="I5" i="2"/>
  <c r="I6" i="2"/>
  <c r="H3" i="2"/>
  <c r="H5" i="2"/>
  <c r="H2" i="2"/>
  <c r="J2" i="2" s="1"/>
  <c r="M2" i="2" s="1"/>
  <c r="O2" i="2" s="1"/>
  <c r="Q2" i="2" s="1"/>
  <c r="G22" i="2"/>
  <c r="I22" i="2" s="1"/>
  <c r="F22" i="2"/>
  <c r="H24" i="2" s="1"/>
  <c r="F17" i="2"/>
  <c r="G17" i="2"/>
  <c r="I17" i="2" s="1"/>
  <c r="G12" i="2"/>
  <c r="I15" i="2" s="1"/>
  <c r="F12" i="2"/>
  <c r="H14" i="2" s="1"/>
  <c r="G7" i="2"/>
  <c r="S7" i="2" s="1"/>
  <c r="F7" i="2"/>
  <c r="H8" i="2" s="1"/>
  <c r="G2" i="2"/>
  <c r="F2" i="2"/>
  <c r="H6" i="2" s="1"/>
  <c r="C7" i="2"/>
  <c r="C12" i="2"/>
  <c r="E31" i="2" s="1"/>
  <c r="F31" i="2" s="1"/>
  <c r="C17" i="2"/>
  <c r="E32" i="2" s="1"/>
  <c r="F32" i="2" s="1"/>
  <c r="C22" i="2"/>
  <c r="E33" i="2" s="1"/>
  <c r="F33" i="2" s="1"/>
  <c r="C2" i="2"/>
  <c r="E29" i="2" s="1"/>
  <c r="F29" i="2" s="1"/>
  <c r="G5" i="1"/>
  <c r="G2" i="1"/>
  <c r="G3" i="1"/>
  <c r="G4" i="1"/>
  <c r="G6" i="1"/>
  <c r="H3" i="1"/>
  <c r="H4" i="1"/>
  <c r="H5" i="1"/>
  <c r="H6" i="1"/>
  <c r="H2" i="1"/>
  <c r="F3" i="1"/>
  <c r="J3" i="1" s="1"/>
  <c r="F4" i="1"/>
  <c r="J4" i="1" s="1"/>
  <c r="F5" i="1"/>
  <c r="J5" i="1" s="1"/>
  <c r="F6" i="1"/>
  <c r="J6" i="1" s="1"/>
  <c r="F2" i="1"/>
  <c r="J2" i="1" s="1"/>
  <c r="E3" i="1"/>
  <c r="E4" i="1"/>
  <c r="I4" i="1" s="1"/>
  <c r="E5" i="1"/>
  <c r="I5" i="1" s="1"/>
  <c r="E6" i="1"/>
  <c r="E2" i="1"/>
  <c r="I2" i="1" s="1"/>
  <c r="T2" i="2" l="1"/>
  <c r="D30" i="2"/>
  <c r="G31" i="2"/>
  <c r="K29" i="2"/>
  <c r="K2" i="1"/>
  <c r="K12" i="2"/>
  <c r="N12" i="2" s="1"/>
  <c r="P12" i="2" s="1"/>
  <c r="R12" i="2" s="1"/>
  <c r="J7" i="2"/>
  <c r="M7" i="2" s="1"/>
  <c r="O7" i="2" s="1"/>
  <c r="Q7" i="2" s="1"/>
  <c r="H16" i="2"/>
  <c r="I26" i="2"/>
  <c r="S17" i="2"/>
  <c r="H15" i="2"/>
  <c r="J12" i="2" s="1"/>
  <c r="M12" i="2" s="1"/>
  <c r="O12" i="2" s="1"/>
  <c r="I25" i="2"/>
  <c r="S22" i="2"/>
  <c r="I24" i="2"/>
  <c r="K22" i="2" s="1"/>
  <c r="N22" i="2" s="1"/>
  <c r="P22" i="2" s="1"/>
  <c r="R22" i="2" s="1"/>
  <c r="L5" i="1"/>
  <c r="L4" i="1"/>
  <c r="H10" i="2"/>
  <c r="I20" i="2"/>
  <c r="I6" i="1"/>
  <c r="H9" i="2"/>
  <c r="I19" i="2"/>
  <c r="I3" i="1"/>
  <c r="I18" i="2"/>
  <c r="K17" i="2" s="1"/>
  <c r="N17" i="2" s="1"/>
  <c r="P17" i="2" s="1"/>
  <c r="R17" i="2" s="1"/>
  <c r="I21" i="2"/>
  <c r="I11" i="2"/>
  <c r="I10" i="2"/>
  <c r="H22" i="2"/>
  <c r="J22" i="2" s="1"/>
  <c r="M22" i="2" s="1"/>
  <c r="O22" i="2" s="1"/>
  <c r="Q22" i="2" s="1"/>
  <c r="I7" i="2"/>
  <c r="I8" i="2"/>
  <c r="I9" i="2"/>
  <c r="Q12" i="2" l="1"/>
  <c r="T12" i="2"/>
  <c r="D32" i="2"/>
  <c r="T17" i="2"/>
  <c r="L6" i="1"/>
  <c r="L2" i="1"/>
  <c r="K7" i="2"/>
  <c r="N7" i="2" s="1"/>
  <c r="P7" i="2" s="1"/>
  <c r="R7" i="2" s="1"/>
  <c r="D33" i="2"/>
  <c r="T22" i="2"/>
  <c r="G30" i="2"/>
  <c r="L3" i="1"/>
  <c r="T7" i="2" l="1"/>
  <c r="G33" i="2"/>
  <c r="M2" i="1"/>
  <c r="N2" i="1" s="1"/>
  <c r="O2" i="1" s="1"/>
  <c r="G32" i="2"/>
  <c r="H29" i="2" s="1"/>
  <c r="I29" i="2" s="1"/>
  <c r="J31" i="2" l="1"/>
  <c r="J29" i="2"/>
  <c r="J30" i="2"/>
  <c r="J33" i="2"/>
  <c r="J32" i="2"/>
  <c r="L29" i="2" l="1"/>
  <c r="M29" i="2" s="1"/>
  <c r="N29" i="2" s="1"/>
</calcChain>
</file>

<file path=xl/sharedStrings.xml><?xml version="1.0" encoding="utf-8"?>
<sst xmlns="http://schemas.openxmlformats.org/spreadsheetml/2006/main" count="65" uniqueCount="58">
  <si>
    <t>x1</t>
  </si>
  <si>
    <t>x2</t>
  </si>
  <si>
    <t>t1</t>
  </si>
  <si>
    <t>t2</t>
  </si>
  <si>
    <t>ΔZ</t>
  </si>
  <si>
    <t>ΔY</t>
  </si>
  <si>
    <t>x2 - x1 = Y</t>
  </si>
  <si>
    <t>(t2^2 - t1^2) / 2 = Z</t>
  </si>
  <si>
    <t>Zi * Yi</t>
  </si>
  <si>
    <t>Zi ^ 2</t>
  </si>
  <si>
    <t>a</t>
  </si>
  <si>
    <t>(Yi - a * Zi) ^ 2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</si>
  <si>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Times New Roman"/>
        <family val="1"/>
        <charset val="204"/>
      </rPr>
      <t>a</t>
    </r>
  </si>
  <si>
    <t>Δa</t>
  </si>
  <si>
    <t>εa</t>
  </si>
  <si>
    <t>x</t>
  </si>
  <si>
    <t>x'</t>
  </si>
  <si>
    <t>h0</t>
  </si>
  <si>
    <t>h0'</t>
  </si>
  <si>
    <t>h</t>
  </si>
  <si>
    <t>h'</t>
  </si>
  <si>
    <t>sinα</t>
  </si>
  <si>
    <t>t1 ср</t>
  </si>
  <si>
    <t>t2 ср</t>
  </si>
  <si>
    <t>(t1i - t1ср)^2</t>
  </si>
  <si>
    <t>(t2i - t2ср)^2</t>
  </si>
  <si>
    <t>St1ср</t>
  </si>
  <si>
    <t>St2ср</t>
  </si>
  <si>
    <r>
      <t>t</t>
    </r>
    <r>
      <rPr>
        <sz val="12"/>
        <color theme="1"/>
        <rFont val="Aptos Narrow"/>
        <family val="2"/>
      </rPr>
      <t>α</t>
    </r>
    <r>
      <rPr>
        <sz val="12"/>
        <color theme="1"/>
        <rFont val="Times New Roman"/>
        <family val="1"/>
        <charset val="204"/>
      </rPr>
      <t>,n</t>
    </r>
  </si>
  <si>
    <r>
      <rPr>
        <sz val="12"/>
        <color theme="1"/>
        <rFont val="Aptos Narrow"/>
        <family val="2"/>
      </rPr>
      <t>Δ</t>
    </r>
    <r>
      <rPr>
        <sz val="12"/>
        <color theme="1"/>
        <rFont val="Times New Roman"/>
        <family val="1"/>
        <charset val="204"/>
      </rPr>
      <t>t1ср</t>
    </r>
  </si>
  <si>
    <t>Δt2ср</t>
  </si>
  <si>
    <t>Δt1</t>
  </si>
  <si>
    <t>Δt2</t>
  </si>
  <si>
    <r>
      <t>ε</t>
    </r>
    <r>
      <rPr>
        <sz val="11"/>
        <color theme="1"/>
        <rFont val="Aptos Narrow"/>
        <family val="2"/>
        <charset val="204"/>
      </rPr>
      <t>t1</t>
    </r>
  </si>
  <si>
    <t>εt2</t>
  </si>
  <si>
    <t>⟨a⟩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</si>
  <si>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a</t>
    </r>
  </si>
  <si>
    <t>B ≡ g</t>
  </si>
  <si>
    <t>ai</t>
  </si>
  <si>
    <r>
      <t>sin</t>
    </r>
    <r>
      <rPr>
        <sz val="12"/>
        <color theme="1"/>
        <rFont val="Aptos Narrow"/>
        <family val="2"/>
      </rPr>
      <t>α</t>
    </r>
    <r>
      <rPr>
        <sz val="12"/>
        <color theme="1"/>
        <rFont val="Times New Roman"/>
        <family val="1"/>
        <charset val="204"/>
      </rPr>
      <t>i</t>
    </r>
  </si>
  <si>
    <r>
      <t>sin</t>
    </r>
    <r>
      <rPr>
        <sz val="12"/>
        <color theme="1"/>
        <rFont val="Aptos Narrow"/>
        <family val="2"/>
      </rPr>
      <t>α</t>
    </r>
    <r>
      <rPr>
        <sz val="12"/>
        <color theme="1"/>
        <rFont val="Times New Roman"/>
        <family val="1"/>
        <charset val="204"/>
      </rPr>
      <t>i ^ 2</t>
    </r>
  </si>
  <si>
    <t>ai * sinαi</t>
  </si>
  <si>
    <t>A</t>
  </si>
  <si>
    <t>σg</t>
  </si>
  <si>
    <t>D</t>
  </si>
  <si>
    <t>di^2</t>
  </si>
  <si>
    <t>Δg</t>
  </si>
  <si>
    <r>
      <rPr>
        <sz val="11"/>
        <color theme="1"/>
        <rFont val="Aptos Narrow"/>
        <family val="2"/>
      </rPr>
      <t>ε</t>
    </r>
    <r>
      <rPr>
        <sz val="11"/>
        <color theme="1"/>
        <rFont val="Aptos Narrow"/>
        <family val="2"/>
        <charset val="204"/>
      </rPr>
      <t>g</t>
    </r>
  </si>
  <si>
    <t>y=0,1z</t>
  </si>
  <si>
    <t>a=</t>
  </si>
  <si>
    <t>вертикаль</t>
  </si>
  <si>
    <t>горизонталь</t>
  </si>
  <si>
    <t>new y</t>
  </si>
  <si>
    <t>zzz</t>
  </si>
  <si>
    <t>sin</t>
  </si>
  <si>
    <t>B</t>
  </si>
  <si>
    <r>
      <t>a</t>
    </r>
    <r>
      <rPr>
        <sz val="10"/>
        <color rgb="FF0F1115"/>
        <rFont val="Times New Roman"/>
        <family val="1"/>
        <charset val="204"/>
      </rPr>
      <t>=</t>
    </r>
    <r>
      <rPr>
        <i/>
        <sz val="10"/>
        <color rgb="FF0F1115"/>
        <rFont val="KaTeX_Math"/>
      </rPr>
      <t>A</t>
    </r>
    <r>
      <rPr>
        <sz val="10"/>
        <color rgb="FF0F1115"/>
        <rFont val="Times New Roman"/>
        <family val="1"/>
        <charset val="204"/>
      </rPr>
      <t>+</t>
    </r>
    <r>
      <rPr>
        <i/>
        <sz val="10"/>
        <color rgb="FF0F1115"/>
        <rFont val="KaTeX_Math"/>
      </rPr>
      <t>B</t>
    </r>
    <r>
      <rPr>
        <sz val="10"/>
        <color rgb="FF0F1115"/>
        <rFont val="Times New Roman"/>
        <family val="1"/>
        <charset val="204"/>
      </rPr>
      <t>⋅sin</t>
    </r>
    <r>
      <rPr>
        <i/>
        <sz val="10"/>
        <color rgb="FF0F1115"/>
        <rFont val="KaTeX_Math"/>
      </rPr>
      <t>α</t>
    </r>
  </si>
  <si>
    <t>new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</si>
</sst>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Aptos Narrow"/>
      <family val="2"/>
    </font>
    <font>
      <sz val="11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sz val="12"/>
      <color theme="1"/>
      <name val="Times New Roman"/>
      <family val="2"/>
      <charset val="204"/>
    </font>
    <font>
      <sz val="11"/>
      <color theme="1"/>
      <name val="Aptos Narrow"/>
      <family val="2"/>
      <charset val="204"/>
    </font>
    <font>
      <sz val="10"/>
      <color rgb="FF0F1115"/>
      <name val="Times New Roman"/>
      <family val="1"/>
      <charset val="204"/>
    </font>
    <font>
      <i/>
      <sz val="10"/>
      <color rgb="FF0F1115"/>
      <name val="KaTeX_Math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2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numRef>
              <c:f>Лист1!$B$13:$B$17</c:f>
              <c:numCache>
                <c:formatCode>General</c:formatCode>
                <c:ptCount val="5"/>
                <c:pt idx="0">
                  <c:v>2.93</c:v>
                </c:pt>
                <c:pt idx="1">
                  <c:v>3.84</c:v>
                </c:pt>
                <c:pt idx="2">
                  <c:v>5.78</c:v>
                </c:pt>
                <c:pt idx="3">
                  <c:v>7.54</c:v>
                </c:pt>
                <c:pt idx="4">
                  <c:v>9.4600000000000009</c:v>
                </c:pt>
              </c:numCache>
            </c:numRef>
          </c:xVal>
          <c:yVal>
            <c:numRef>
              <c:f>Лист1!$C$13:$C$17</c:f>
              <c:numCache>
                <c:formatCode>General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C-4AEC-9E68-C510D97F2DFA}"/>
            </c:ext>
          </c:extLst>
        </c:ser>
        <c:ser>
          <c:idx val="1"/>
          <c:order val="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A9C-4AEC-9E68-C510D97F2DF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A9C-4AEC-9E68-C510D97F2DF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9C-4AEC-9E68-C510D97F2DF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A9C-4AEC-9E68-C510D97F2DFA}"/>
              </c:ext>
            </c:extLst>
          </c:dPt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Лист1!$B$13:$B$17</c:f>
              <c:numCache>
                <c:formatCode>General</c:formatCode>
                <c:ptCount val="5"/>
                <c:pt idx="0">
                  <c:v>2.93</c:v>
                </c:pt>
                <c:pt idx="1">
                  <c:v>3.84</c:v>
                </c:pt>
                <c:pt idx="2">
                  <c:v>5.78</c:v>
                </c:pt>
                <c:pt idx="3">
                  <c:v>7.54</c:v>
                </c:pt>
                <c:pt idx="4">
                  <c:v>9.4600000000000009</c:v>
                </c:pt>
              </c:numCache>
            </c:numRef>
          </c:xVal>
          <c:yVal>
            <c:numRef>
              <c:f>Лист1!$D$13:$D$17</c:f>
              <c:numCache>
                <c:formatCode>General</c:formatCode>
                <c:ptCount val="5"/>
                <c:pt idx="0">
                  <c:v>0.29300000000000004</c:v>
                </c:pt>
                <c:pt idx="1">
                  <c:v>0.38400000000000001</c:v>
                </c:pt>
                <c:pt idx="2">
                  <c:v>0.57800000000000007</c:v>
                </c:pt>
                <c:pt idx="3">
                  <c:v>0.754</c:v>
                </c:pt>
                <c:pt idx="4">
                  <c:v>0.94600000000000017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C-4AEC-9E68-C510D97F2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931824"/>
        <c:axId val="450932184"/>
      </c:scatterChart>
      <c:valAx>
        <c:axId val="45093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(t2^2 - t1^2) / 2 = Z</a:t>
                </a:r>
                <a:r>
                  <a:rPr lang="ru-RU"/>
                  <a:t>, с</a:t>
                </a:r>
                <a:r>
                  <a:rPr lang="ru-RU" baseline="30000"/>
                  <a:t>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932184"/>
        <c:crosses val="autoZero"/>
        <c:crossBetween val="midCat"/>
      </c:valAx>
      <c:valAx>
        <c:axId val="45093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/>
                  <a:t>x2 - x1 = Y,</a:t>
                </a:r>
                <a:r>
                  <a:rPr lang="en-US" baseline="0"/>
                  <a:t> </a:t>
                </a:r>
                <a:r>
                  <a:rPr lang="ru-RU" baseline="0"/>
                  <a:t>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93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Лист1!$B$13:$B$17</c:f>
              <c:numCache>
                <c:formatCode>General</c:formatCode>
                <c:ptCount val="5"/>
                <c:pt idx="0">
                  <c:v>2.93</c:v>
                </c:pt>
                <c:pt idx="1">
                  <c:v>3.84</c:v>
                </c:pt>
                <c:pt idx="2">
                  <c:v>5.78</c:v>
                </c:pt>
                <c:pt idx="3">
                  <c:v>7.54</c:v>
                </c:pt>
                <c:pt idx="4">
                  <c:v>9.4600000000000009</c:v>
                </c:pt>
              </c:numCache>
            </c:numRef>
          </c:xVal>
          <c:yVal>
            <c:numRef>
              <c:f>Лист1!$C$13:$C$17</c:f>
              <c:numCache>
                <c:formatCode>General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FE-4A96-802B-F13B1F2931E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Лист1!$B$13:$B$17</c:f>
              <c:numCache>
                <c:formatCode>General</c:formatCode>
                <c:ptCount val="5"/>
                <c:pt idx="0">
                  <c:v>2.93</c:v>
                </c:pt>
                <c:pt idx="1">
                  <c:v>3.84</c:v>
                </c:pt>
                <c:pt idx="2">
                  <c:v>5.78</c:v>
                </c:pt>
                <c:pt idx="3">
                  <c:v>7.54</c:v>
                </c:pt>
                <c:pt idx="4">
                  <c:v>9.4600000000000009</c:v>
                </c:pt>
              </c:numCache>
            </c:numRef>
          </c:xVal>
          <c:yVal>
            <c:numRef>
              <c:f>Лист1!$D$13:$D$17</c:f>
              <c:numCache>
                <c:formatCode>General</c:formatCode>
                <c:ptCount val="5"/>
                <c:pt idx="0">
                  <c:v>0.29300000000000004</c:v>
                </c:pt>
                <c:pt idx="1">
                  <c:v>0.38400000000000001</c:v>
                </c:pt>
                <c:pt idx="2">
                  <c:v>0.57800000000000007</c:v>
                </c:pt>
                <c:pt idx="3">
                  <c:v>0.754</c:v>
                </c:pt>
                <c:pt idx="4">
                  <c:v>0.94600000000000017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FE-4A96-802B-F13B1F293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68751"/>
        <c:axId val="708370191"/>
      </c:scatterChart>
      <c:valAx>
        <c:axId val="70836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(</a:t>
                </a:r>
                <a:r>
                  <a:rPr lang="en-US"/>
                  <a:t>t2^2</a:t>
                </a:r>
                <a:r>
                  <a:rPr lang="en-US" baseline="0"/>
                  <a:t> - t1^2</a:t>
                </a:r>
                <a:r>
                  <a:rPr lang="ru-RU"/>
                  <a:t>)</a:t>
                </a:r>
                <a:r>
                  <a:rPr lang="en-US"/>
                  <a:t> / 2 = Z, </a:t>
                </a:r>
                <a:r>
                  <a:rPr lang="ru-RU"/>
                  <a:t>с</a:t>
                </a:r>
                <a:r>
                  <a:rPr lang="en-US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8370191"/>
        <c:crosses val="autoZero"/>
        <c:crossBetween val="midCat"/>
      </c:valAx>
      <c:valAx>
        <c:axId val="7083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x2 - x1 = Y, </a:t>
                </a:r>
                <a:r>
                  <a:rPr lang="ru-RU"/>
                  <a:t>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836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50800" prst="angle"/>
                <a:bevelB prst="angle"/>
              </a:sp3d>
            </c:spPr>
          </c:marker>
          <c:xVal>
            <c:numRef>
              <c:f>Лист2!$B$37:$B$41</c:f>
              <c:numCache>
                <c:formatCode>General</c:formatCode>
                <c:ptCount val="5"/>
                <c:pt idx="0">
                  <c:v>8.0000000000000002E-3</c:v>
                </c:pt>
                <c:pt idx="1">
                  <c:v>2.1999999999999999E-2</c:v>
                </c:pt>
                <c:pt idx="2">
                  <c:v>3.3000000000000002E-2</c:v>
                </c:pt>
                <c:pt idx="3">
                  <c:v>4.5999999999999999E-2</c:v>
                </c:pt>
                <c:pt idx="4">
                  <c:v>5.6000000000000001E-2</c:v>
                </c:pt>
              </c:numCache>
            </c:numRef>
          </c:xVal>
          <c:yVal>
            <c:numRef>
              <c:f>Лист2!$C$37:$C$41</c:f>
              <c:numCache>
                <c:formatCode>General</c:formatCode>
                <c:ptCount val="5"/>
                <c:pt idx="0">
                  <c:v>7.0000000000000007E-2</c:v>
                </c:pt>
                <c:pt idx="1">
                  <c:v>0.2</c:v>
                </c:pt>
                <c:pt idx="2">
                  <c:v>0.3</c:v>
                </c:pt>
                <c:pt idx="3">
                  <c:v>0.44</c:v>
                </c:pt>
                <c:pt idx="4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1-44C2-93C1-346E9588D850}"/>
            </c:ext>
          </c:extLst>
        </c:ser>
        <c:ser>
          <c:idx val="1"/>
          <c:order val="1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Лист2!$B$37:$B$41</c:f>
              <c:numCache>
                <c:formatCode>General</c:formatCode>
                <c:ptCount val="5"/>
                <c:pt idx="0">
                  <c:v>8.0000000000000002E-3</c:v>
                </c:pt>
                <c:pt idx="1">
                  <c:v>2.1999999999999999E-2</c:v>
                </c:pt>
                <c:pt idx="2">
                  <c:v>3.3000000000000002E-2</c:v>
                </c:pt>
                <c:pt idx="3">
                  <c:v>4.5999999999999999E-2</c:v>
                </c:pt>
                <c:pt idx="4">
                  <c:v>5.6000000000000001E-2</c:v>
                </c:pt>
              </c:numCache>
            </c:numRef>
          </c:xVal>
          <c:yVal>
            <c:numRef>
              <c:f>Лист2!$D$48:$D$52</c:f>
              <c:numCache>
                <c:formatCode>General</c:formatCode>
                <c:ptCount val="5"/>
                <c:pt idx="0">
                  <c:v>6.9239999999999996E-2</c:v>
                </c:pt>
                <c:pt idx="1">
                  <c:v>0.20265999999999998</c:v>
                </c:pt>
                <c:pt idx="2">
                  <c:v>0.30748999999999999</c:v>
                </c:pt>
                <c:pt idx="3">
                  <c:v>0.43137999999999993</c:v>
                </c:pt>
                <c:pt idx="4">
                  <c:v>0.52667999999999993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71-44C2-93C1-346E9588D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149504"/>
        <c:axId val="451153104"/>
      </c:scatterChart>
      <c:valAx>
        <c:axId val="45114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</a:t>
                </a:r>
                <a:r>
                  <a:rPr lang="en-US" baseline="0"/>
                  <a:t> a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153104"/>
        <c:crosses val="autoZero"/>
        <c:crossBetween val="midCat"/>
      </c:valAx>
      <c:valAx>
        <c:axId val="4511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</a:t>
                </a:r>
                <a:r>
                  <a:rPr lang="ru-RU"/>
                  <a:t> м/с</a:t>
                </a:r>
                <a:r>
                  <a:rPr lang="ru-RU" baseline="30000"/>
                  <a:t>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14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Лист2!$B$37:$B$41</c:f>
              <c:numCache>
                <c:formatCode>General</c:formatCode>
                <c:ptCount val="5"/>
                <c:pt idx="0">
                  <c:v>8.0000000000000002E-3</c:v>
                </c:pt>
                <c:pt idx="1">
                  <c:v>2.1999999999999999E-2</c:v>
                </c:pt>
                <c:pt idx="2">
                  <c:v>3.3000000000000002E-2</c:v>
                </c:pt>
                <c:pt idx="3">
                  <c:v>4.5999999999999999E-2</c:v>
                </c:pt>
                <c:pt idx="4">
                  <c:v>5.6000000000000001E-2</c:v>
                </c:pt>
              </c:numCache>
            </c:numRef>
          </c:xVal>
          <c:yVal>
            <c:numRef>
              <c:f>Лист2!$C$37:$C$41</c:f>
              <c:numCache>
                <c:formatCode>General</c:formatCode>
                <c:ptCount val="5"/>
                <c:pt idx="0">
                  <c:v>7.0000000000000007E-2</c:v>
                </c:pt>
                <c:pt idx="1">
                  <c:v>0.2</c:v>
                </c:pt>
                <c:pt idx="2">
                  <c:v>0.3</c:v>
                </c:pt>
                <c:pt idx="3">
                  <c:v>0.44</c:v>
                </c:pt>
                <c:pt idx="4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4-492E-BD76-838346175A8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Лист2!$B$37:$B$41</c:f>
              <c:numCache>
                <c:formatCode>General</c:formatCode>
                <c:ptCount val="5"/>
                <c:pt idx="0">
                  <c:v>8.0000000000000002E-3</c:v>
                </c:pt>
                <c:pt idx="1">
                  <c:v>2.1999999999999999E-2</c:v>
                </c:pt>
                <c:pt idx="2">
                  <c:v>3.3000000000000002E-2</c:v>
                </c:pt>
                <c:pt idx="3">
                  <c:v>4.5999999999999999E-2</c:v>
                </c:pt>
                <c:pt idx="4">
                  <c:v>5.6000000000000001E-2</c:v>
                </c:pt>
              </c:numCache>
            </c:numRef>
          </c:xVal>
          <c:yVal>
            <c:numRef>
              <c:f>Лист2!$D$48:$D$52</c:f>
              <c:numCache>
                <c:formatCode>General</c:formatCode>
                <c:ptCount val="5"/>
                <c:pt idx="0">
                  <c:v>6.9239999999999996E-2</c:v>
                </c:pt>
                <c:pt idx="1">
                  <c:v>0.20265999999999998</c:v>
                </c:pt>
                <c:pt idx="2">
                  <c:v>0.30748999999999999</c:v>
                </c:pt>
                <c:pt idx="3">
                  <c:v>0.43137999999999993</c:v>
                </c:pt>
                <c:pt idx="4">
                  <c:v>0.52667999999999993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04-492E-BD76-838346175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223215"/>
        <c:axId val="708841151"/>
      </c:scatterChart>
      <c:valAx>
        <c:axId val="75122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sin 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8841151"/>
        <c:crosses val="autoZero"/>
        <c:crossBetween val="midCat"/>
      </c:valAx>
      <c:valAx>
        <c:axId val="7088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a,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м/с</a:t>
                </a:r>
                <a:r>
                  <a:rPr lang="ru-RU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22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610656</xdr:colOff>
      <xdr:row>14</xdr:row>
      <xdr:rowOff>1210</xdr:rowOff>
    </xdr:from>
    <xdr:to>
      <xdr:col>15</xdr:col>
      <xdr:colOff>315232</xdr:colOff>
      <xdr:row>31</xdr:row>
      <xdr:rowOff>58965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1F92E79-BAFA-425C-42F6-E905C43F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488346</xdr:colOff>
      <xdr:row>15</xdr:row>
      <xdr:rowOff>106287</xdr:rowOff>
    </xdr:from>
    <xdr:to>
      <xdr:col>11</xdr:col>
      <xdr:colOff>86180</xdr:colOff>
      <xdr:row>30</xdr:row>
      <xdr:rowOff>14665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A2D6FE-C6C5-F867-9043-C66C00BD5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388685</xdr:colOff>
      <xdr:row>36</xdr:row>
      <xdr:rowOff>151654</xdr:rowOff>
    </xdr:from>
    <xdr:to>
      <xdr:col>19</xdr:col>
      <xdr:colOff>530460</xdr:colOff>
      <xdr:row>51</xdr:row>
      <xdr:rowOff>161593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028783-9EED-DB4C-313C-B976D9F58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807480</xdr:colOff>
      <xdr:row>36</xdr:row>
      <xdr:rowOff>26275</xdr:rowOff>
    </xdr:from>
    <xdr:to>
      <xdr:col>11</xdr:col>
      <xdr:colOff>556912</xdr:colOff>
      <xdr:row>51</xdr:row>
      <xdr:rowOff>170793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2BFE4A-13A2-BA23-F74E-A27A013C4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F0BD-7E7D-482E-A632-01E6F7E2EDEB}">
  <dimension ref="A1:O22"/>
  <sheetViews>
    <sheetView tabSelected="1" zoomScale="126" zoomScaleNormal="196" workbookViewId="0">
      <selection activeCell="J35" sqref="J35"/>
    </sheetView>
  </sheetViews>
  <sheetFormatPr defaultColWidth="9.140625" defaultRowHeight="15"/>
  <cols>
    <col min="1" max="4" width="9.140625" style="2"/>
    <col min="5" max="5" width="11.140625" style="2" customWidth="1"/>
    <col min="6" max="6" width="17.5703125" style="2" customWidth="1"/>
    <col min="7" max="11" width="9.140625" style="2"/>
    <col min="12" max="12" width="21.140625" style="2" customWidth="1"/>
    <col min="13" max="13" width="18.85546875" style="2" customWidth="1"/>
    <col min="14" max="14" width="10.7109375" style="2" customWidth="1"/>
    <col min="15" max="16384" width="9.140625" style="2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5</v>
      </c>
      <c r="H1" s="2" t="s">
        <v>4</v>
      </c>
      <c r="I1" s="2" t="s">
        <v>8</v>
      </c>
      <c r="J1" s="2" t="s">
        <v>9</v>
      </c>
      <c r="K1" s="5" t="s">
        <v>10</v>
      </c>
      <c r="L1" s="2" t="s">
        <v>11</v>
      </c>
      <c r="M1" s="6" t="s">
        <v>12</v>
      </c>
      <c r="N1" s="7" t="s">
        <v>13</v>
      </c>
      <c r="O1" s="7" t="s">
        <v>14</v>
      </c>
    </row>
    <row r="2" spans="1:15">
      <c r="A2" s="3">
        <v>0.15</v>
      </c>
      <c r="B2" s="3">
        <v>0.4</v>
      </c>
      <c r="C2" s="3">
        <v>1.6</v>
      </c>
      <c r="D2" s="3">
        <v>2.9</v>
      </c>
      <c r="E2" s="2">
        <f>B2-A2</f>
        <v>0.25</v>
      </c>
      <c r="F2" s="2">
        <f>(D2^2-C2^2)/2</f>
        <v>2.9249999999999998</v>
      </c>
      <c r="G2" s="2">
        <f>SQRT(2 * (0.5/100)^2)</f>
        <v>7.0710678118654753E-3</v>
      </c>
      <c r="H2" s="2">
        <f>SQRT((C2*0.1)^2 + (D2*0.1)^2)</f>
        <v>0.3312099032335839</v>
      </c>
      <c r="I2" s="2">
        <f>E2*F2</f>
        <v>0.73124999999999996</v>
      </c>
      <c r="J2" s="2">
        <f>F2^2</f>
        <v>8.5556249999999991</v>
      </c>
      <c r="K2" s="5">
        <f>SUM(I2:I6)/SUM(J2:J6)</f>
        <v>9.8022195364500769E-2</v>
      </c>
      <c r="L2" s="2">
        <f>(E2-$K$2*F2)^2</f>
        <v>1.3479854564308973E-3</v>
      </c>
      <c r="M2" s="5">
        <f>SQRT(SUM(L2:L6)/(4 * SUM(J2:J6)))</f>
        <v>1.9100829099506743E-3</v>
      </c>
      <c r="N2" s="5">
        <f>2 * M2</f>
        <v>3.8201658199013486E-3</v>
      </c>
      <c r="O2" s="5">
        <f>N2/K2 * 100</f>
        <v>3.897245726537605</v>
      </c>
    </row>
    <row r="3" spans="1:15">
      <c r="A3" s="3">
        <v>0.15</v>
      </c>
      <c r="B3" s="3">
        <v>0.5</v>
      </c>
      <c r="C3" s="3">
        <v>1.6</v>
      </c>
      <c r="D3" s="3">
        <v>3.2</v>
      </c>
      <c r="E3" s="2">
        <f t="shared" ref="E3:E6" si="0">B3-A3</f>
        <v>0.35</v>
      </c>
      <c r="F3" s="2">
        <f t="shared" ref="F3:F6" si="1">(D3^2-C3^2)/2</f>
        <v>3.8400000000000007</v>
      </c>
      <c r="G3" s="2">
        <f t="shared" ref="G3:G6" si="2">SQRT(2 * (0.5/100)^2)</f>
        <v>7.0710678118654753E-3</v>
      </c>
      <c r="H3" s="2">
        <f t="shared" ref="H3:H6" si="3">SQRT((C3*0.1)^2 + (D3*0.1)^2)</f>
        <v>0.35777087639996641</v>
      </c>
      <c r="I3" s="2">
        <f t="shared" ref="I3:I6" si="4">E3*F3</f>
        <v>1.3440000000000001</v>
      </c>
      <c r="J3" s="2">
        <f t="shared" ref="J3:J6" si="5">F3^2</f>
        <v>14.745600000000005</v>
      </c>
      <c r="L3" s="2">
        <f t="shared" ref="L3:L6" si="6">(E3-$K$2*F3)^2</f>
        <v>6.9723618189825379E-4</v>
      </c>
    </row>
    <row r="4" spans="1:15">
      <c r="A4" s="3">
        <v>0.15</v>
      </c>
      <c r="B4" s="3">
        <v>0.7</v>
      </c>
      <c r="C4" s="3">
        <v>1.7</v>
      </c>
      <c r="D4" s="3">
        <v>3.8</v>
      </c>
      <c r="E4" s="2">
        <f t="shared" si="0"/>
        <v>0.54999999999999993</v>
      </c>
      <c r="F4" s="2">
        <f t="shared" si="1"/>
        <v>5.7750000000000004</v>
      </c>
      <c r="G4" s="2">
        <f t="shared" si="2"/>
        <v>7.0710678118654753E-3</v>
      </c>
      <c r="H4" s="2">
        <f t="shared" si="3"/>
        <v>0.41629316592997295</v>
      </c>
      <c r="I4" s="2">
        <f t="shared" si="4"/>
        <v>3.17625</v>
      </c>
      <c r="J4" s="2">
        <f t="shared" si="5"/>
        <v>33.350625000000001</v>
      </c>
      <c r="L4" s="2">
        <f t="shared" si="6"/>
        <v>2.5850781519538943E-4</v>
      </c>
    </row>
    <row r="5" spans="1:15">
      <c r="A5" s="3">
        <v>0.15</v>
      </c>
      <c r="B5" s="3">
        <v>0.9</v>
      </c>
      <c r="C5" s="3">
        <v>1.6</v>
      </c>
      <c r="D5" s="3">
        <v>4.2</v>
      </c>
      <c r="E5" s="2">
        <f t="shared" si="0"/>
        <v>0.75</v>
      </c>
      <c r="F5" s="2">
        <f t="shared" si="1"/>
        <v>7.54</v>
      </c>
      <c r="G5" s="2">
        <f>SQRT(2 * (0.5/100)^2)</f>
        <v>7.0710678118654753E-3</v>
      </c>
      <c r="H5" s="2">
        <f t="shared" si="3"/>
        <v>0.4494441010848847</v>
      </c>
      <c r="I5" s="2">
        <f t="shared" si="4"/>
        <v>5.6550000000000002</v>
      </c>
      <c r="J5" s="2">
        <f t="shared" si="5"/>
        <v>56.851599999999998</v>
      </c>
      <c r="L5" s="2">
        <f t="shared" si="6"/>
        <v>1.1908586349166514E-4</v>
      </c>
    </row>
    <row r="6" spans="1:15">
      <c r="A6" s="3">
        <v>0.15</v>
      </c>
      <c r="B6" s="3">
        <v>1.1000000000000001</v>
      </c>
      <c r="C6" s="3">
        <v>1.5</v>
      </c>
      <c r="D6" s="3">
        <v>4.5999999999999996</v>
      </c>
      <c r="E6" s="2">
        <f t="shared" si="0"/>
        <v>0.95000000000000007</v>
      </c>
      <c r="F6" s="2">
        <f t="shared" si="1"/>
        <v>9.4549999999999983</v>
      </c>
      <c r="G6" s="2">
        <f t="shared" si="2"/>
        <v>7.0710678118654753E-3</v>
      </c>
      <c r="H6" s="2">
        <f t="shared" si="3"/>
        <v>0.48383881613611779</v>
      </c>
      <c r="I6" s="2">
        <f t="shared" si="4"/>
        <v>8.9822499999999987</v>
      </c>
      <c r="J6" s="2">
        <f t="shared" si="5"/>
        <v>89.397024999999971</v>
      </c>
      <c r="L6" s="2">
        <f t="shared" si="6"/>
        <v>5.382466272695496E-4</v>
      </c>
    </row>
    <row r="11" spans="1:15">
      <c r="B11" s="2" t="s">
        <v>51</v>
      </c>
      <c r="C11" s="2" t="s">
        <v>50</v>
      </c>
    </row>
    <row r="12" spans="1:15">
      <c r="B12" s="2" t="s">
        <v>7</v>
      </c>
      <c r="C12" s="2" t="s">
        <v>6</v>
      </c>
      <c r="D12" s="2" t="s">
        <v>52</v>
      </c>
      <c r="E12" s="2" t="s">
        <v>53</v>
      </c>
    </row>
    <row r="13" spans="1:15">
      <c r="B13" s="2">
        <v>2.93</v>
      </c>
      <c r="C13" s="2">
        <v>0.25</v>
      </c>
      <c r="D13" s="2">
        <f>B13*$B$20</f>
        <v>0.29300000000000004</v>
      </c>
      <c r="E13" s="2">
        <v>2.93</v>
      </c>
    </row>
    <row r="14" spans="1:15">
      <c r="B14" s="2">
        <v>3.84</v>
      </c>
      <c r="C14" s="2">
        <v>0.35</v>
      </c>
      <c r="D14" s="2">
        <f>B14*$B$20</f>
        <v>0.38400000000000001</v>
      </c>
      <c r="E14" s="2">
        <v>3.84</v>
      </c>
    </row>
    <row r="15" spans="1:15">
      <c r="B15" s="2">
        <v>5.78</v>
      </c>
      <c r="C15" s="2">
        <v>0.54999999999999993</v>
      </c>
      <c r="D15" s="2">
        <f>B15*$B$20</f>
        <v>0.57800000000000007</v>
      </c>
      <c r="E15" s="2">
        <v>5.78</v>
      </c>
    </row>
    <row r="16" spans="1:15">
      <c r="B16" s="2">
        <v>7.54</v>
      </c>
      <c r="C16" s="2">
        <v>0.75</v>
      </c>
      <c r="D16" s="2">
        <f>B16*$B$20</f>
        <v>0.754</v>
      </c>
      <c r="E16" s="2">
        <v>7.54</v>
      </c>
    </row>
    <row r="17" spans="1:5">
      <c r="B17" s="2">
        <v>9.4600000000000009</v>
      </c>
      <c r="C17" s="2">
        <v>0.95000000000000007</v>
      </c>
      <c r="D17" s="2">
        <f>B17*$B$20</f>
        <v>0.94600000000000017</v>
      </c>
      <c r="E17" s="2">
        <v>9.4600000000000009</v>
      </c>
    </row>
    <row r="20" spans="1:5">
      <c r="A20" s="2" t="s">
        <v>49</v>
      </c>
      <c r="B20" s="2">
        <v>0.1</v>
      </c>
    </row>
    <row r="22" spans="1:5">
      <c r="B22" s="2" t="s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2046-464A-4929-B185-08B631D857FB}">
  <dimension ref="A1:U52"/>
  <sheetViews>
    <sheetView topLeftCell="A25" zoomScale="145" zoomScaleNormal="145" workbookViewId="0">
      <selection activeCell="D48" sqref="D48"/>
    </sheetView>
  </sheetViews>
  <sheetFormatPr defaultRowHeight="15"/>
  <cols>
    <col min="1" max="1" width="9.85546875" customWidth="1"/>
    <col min="3" max="3" width="12.42578125" customWidth="1"/>
    <col min="6" max="6" width="14" bestFit="1" customWidth="1"/>
    <col min="8" max="8" width="13.42578125" customWidth="1"/>
    <col min="9" max="9" width="12.5703125" customWidth="1"/>
    <col min="10" max="10" width="14" bestFit="1" customWidth="1"/>
  </cols>
  <sheetData>
    <row r="1" spans="1:21" ht="15.75">
      <c r="A1" s="9" t="s">
        <v>19</v>
      </c>
      <c r="B1" s="9" t="s">
        <v>20</v>
      </c>
      <c r="C1" s="9" t="s">
        <v>21</v>
      </c>
      <c r="D1" s="9" t="s">
        <v>2</v>
      </c>
      <c r="E1" s="10" t="s">
        <v>3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6" t="s">
        <v>29</v>
      </c>
      <c r="N1" s="16" t="s">
        <v>30</v>
      </c>
      <c r="O1" s="4" t="s">
        <v>31</v>
      </c>
      <c r="P1" t="s">
        <v>32</v>
      </c>
      <c r="Q1" s="4" t="s">
        <v>33</v>
      </c>
      <c r="R1" t="s">
        <v>34</v>
      </c>
      <c r="S1" s="4" t="s">
        <v>35</v>
      </c>
      <c r="T1" s="4" t="s">
        <v>36</v>
      </c>
      <c r="U1" s="4"/>
    </row>
    <row r="2" spans="1:21" ht="15" customHeight="1">
      <c r="A2" s="9">
        <v>0.21299999999999999</v>
      </c>
      <c r="B2" s="9">
        <v>0.20699999999999999</v>
      </c>
      <c r="C2" s="9">
        <f>((A2-$A$31) - (B2-$B$31))/($B$29-$A$29)</f>
        <v>7.9545454545454294E-3</v>
      </c>
      <c r="D2" s="9">
        <v>1.7</v>
      </c>
      <c r="E2" s="9">
        <v>4.7</v>
      </c>
      <c r="F2" s="10">
        <f>AVERAGE(D2:D6)</f>
        <v>2.48</v>
      </c>
      <c r="G2" s="10">
        <f>AVERAGE(E2:E6)</f>
        <v>5.58</v>
      </c>
      <c r="H2" s="10">
        <f>(D2-F$2)^2</f>
        <v>0.60840000000000005</v>
      </c>
      <c r="I2" s="10">
        <f>(E2-G$2)^2</f>
        <v>0.77439999999999987</v>
      </c>
      <c r="J2" s="10">
        <f>SQRT(SUM(H2:H6)/20)</f>
        <v>0.69094138680498796</v>
      </c>
      <c r="K2" s="10">
        <f>SQRT(SUM(I2:I6)/20)</f>
        <v>0.66060578259654956</v>
      </c>
      <c r="L2" s="10">
        <v>2.78</v>
      </c>
      <c r="M2" s="10">
        <f>J2*L2</f>
        <v>1.9208170553178663</v>
      </c>
      <c r="N2">
        <f>K2*L2</f>
        <v>1.8364840756184078</v>
      </c>
      <c r="O2">
        <f>SQRT(M2^2 + (2/3 * 0.1)^2)</f>
        <v>1.9219736222030841</v>
      </c>
      <c r="P2">
        <f>SQRT(N2^2 + (2/3 * 0.1)^2)</f>
        <v>1.8376937188890978</v>
      </c>
      <c r="Q2">
        <f>O2/F2 *100</f>
        <v>77.498936379156618</v>
      </c>
      <c r="R2">
        <f>P2/G2 * 100</f>
        <v>32.933579191560888</v>
      </c>
      <c r="S2">
        <f xml:space="preserve"> 2 * (B29-A29) / (G2^2-F2^2)</f>
        <v>7.0439446089810301E-2</v>
      </c>
      <c r="T2">
        <f>S2 * SQRT((0.005^2 + 0.005^2)/($B$29-$A$29)^2 + 4*((F2*O2)^2 + (G2*P2)^2)/(G2^2 - F2^2)^2)</f>
        <v>6.3760534797827853E-2</v>
      </c>
    </row>
    <row r="3" spans="1:21" ht="15" customHeight="1">
      <c r="A3" s="9"/>
      <c r="B3" s="9"/>
      <c r="C3" s="9"/>
      <c r="D3" s="9">
        <v>1.4</v>
      </c>
      <c r="E3" s="9">
        <v>4.8</v>
      </c>
      <c r="F3" s="10"/>
      <c r="G3" s="10"/>
      <c r="H3" s="10">
        <f t="shared" ref="H3:I6" si="0">(D3-F$2)^2</f>
        <v>1.1664000000000001</v>
      </c>
      <c r="I3" s="10">
        <f>(E3-G$2)^2</f>
        <v>0.60840000000000038</v>
      </c>
      <c r="J3" s="10"/>
      <c r="K3" s="10"/>
      <c r="L3" s="10"/>
      <c r="M3" s="10"/>
    </row>
    <row r="4" spans="1:21" ht="15" customHeight="1">
      <c r="A4" s="9"/>
      <c r="B4" s="9"/>
      <c r="C4" s="9"/>
      <c r="D4" s="9">
        <v>5.2</v>
      </c>
      <c r="E4" s="9">
        <v>8.1999999999999993</v>
      </c>
      <c r="F4" s="10"/>
      <c r="G4" s="10"/>
      <c r="H4" s="10">
        <f>(D4-F$2)^2</f>
        <v>7.3984000000000014</v>
      </c>
      <c r="I4" s="10">
        <f>(E4-G$2)^2</f>
        <v>6.8643999999999963</v>
      </c>
      <c r="J4" s="10"/>
      <c r="K4" s="10"/>
      <c r="L4" s="10"/>
      <c r="M4" s="10"/>
    </row>
    <row r="5" spans="1:21" ht="15" customHeight="1">
      <c r="A5" s="9"/>
      <c r="B5" s="9"/>
      <c r="C5" s="9"/>
      <c r="D5" s="9">
        <v>2.1</v>
      </c>
      <c r="E5" s="9">
        <v>5.2</v>
      </c>
      <c r="F5" s="10"/>
      <c r="G5" s="10"/>
      <c r="H5" s="10">
        <f t="shared" si="0"/>
        <v>0.14439999999999992</v>
      </c>
      <c r="I5" s="10">
        <f t="shared" si="0"/>
        <v>0.14439999999999992</v>
      </c>
      <c r="J5" s="10"/>
      <c r="K5" s="10"/>
      <c r="L5" s="10"/>
      <c r="M5" s="10"/>
    </row>
    <row r="6" spans="1:21" s="14" customFormat="1" ht="15" customHeight="1" thickBot="1">
      <c r="A6" s="12"/>
      <c r="B6" s="12"/>
      <c r="C6" s="12"/>
      <c r="D6" s="12">
        <v>2</v>
      </c>
      <c r="E6" s="12">
        <v>5</v>
      </c>
      <c r="F6" s="13"/>
      <c r="G6" s="13"/>
      <c r="H6" s="13">
        <f t="shared" si="0"/>
        <v>0.23039999999999999</v>
      </c>
      <c r="I6" s="13">
        <f t="shared" si="0"/>
        <v>0.33640000000000009</v>
      </c>
      <c r="J6" s="13"/>
      <c r="K6" s="13"/>
      <c r="L6" s="13"/>
      <c r="M6" s="13"/>
    </row>
    <row r="7" spans="1:21" ht="15" customHeight="1">
      <c r="A7" s="9">
        <v>0.223</v>
      </c>
      <c r="B7" s="9">
        <v>0.20499999999999999</v>
      </c>
      <c r="C7" s="9">
        <f>((A7-$A$31) - (B7-$B$31))/($B$29-$A$29)</f>
        <v>2.1590909090909077E-2</v>
      </c>
      <c r="D7" s="9">
        <v>1.1000000000000001</v>
      </c>
      <c r="E7" s="9">
        <v>3.2</v>
      </c>
      <c r="F7" s="10">
        <f>AVERAGE(D7:D11)</f>
        <v>1.06</v>
      </c>
      <c r="G7" s="10">
        <f>AVERAGE(E7:E11)</f>
        <v>3.1800000000000006</v>
      </c>
      <c r="H7" s="10">
        <f>(D7-F$7)^2</f>
        <v>1.6000000000000029E-3</v>
      </c>
      <c r="I7" s="10">
        <f>(E7-G$7)^2</f>
        <v>3.9999999999998294E-4</v>
      </c>
      <c r="J7" s="10">
        <f>SQRT(SUM(H7:H11)/20)</f>
        <v>2.4494897427831803E-2</v>
      </c>
      <c r="K7" s="10">
        <f>SQRT(SUM(I7:I11)/20)</f>
        <v>2.0000000000000018E-2</v>
      </c>
      <c r="L7" s="10">
        <v>2.78</v>
      </c>
      <c r="M7" s="10">
        <f>J7*L7</f>
        <v>6.809581484937241E-2</v>
      </c>
      <c r="N7">
        <f>K7*L7</f>
        <v>5.5600000000000045E-2</v>
      </c>
      <c r="O7">
        <f>SQRT(M7^2 + (2/3 * 0.1)^2)</f>
        <v>9.5296822845488682E-2</v>
      </c>
      <c r="P7">
        <f>SQRT(N7^2 + (2/3 * 0.1)^2)</f>
        <v>8.6809011308990561E-2</v>
      </c>
      <c r="Q7">
        <f t="shared" ref="Q7:Q22" si="1">O7/F7 *100</f>
        <v>8.9902663061781762</v>
      </c>
      <c r="R7">
        <f t="shared" ref="R7:R22" si="2">P7/G7 * 100</f>
        <v>2.729843122924231</v>
      </c>
      <c r="S7">
        <f xml:space="preserve"> 2 * (B29-A29) / (G7^2-F7^2)</f>
        <v>0.1957992168031327</v>
      </c>
      <c r="T7">
        <f t="shared" ref="T7:T22" si="3">S7 * SQRT((0.005^2 + 0.005^2)/($B$29-$A$29)^2 + 4*((F7*O7)^2 + (G7*P7)^2)/(G7^2 - F7^2)^2)</f>
        <v>1.2902438467778551E-2</v>
      </c>
    </row>
    <row r="8" spans="1:21" ht="15" customHeight="1">
      <c r="A8" s="9"/>
      <c r="B8" s="9"/>
      <c r="C8" s="9"/>
      <c r="D8" s="9">
        <v>1.1000000000000001</v>
      </c>
      <c r="E8" s="9">
        <v>3.2</v>
      </c>
      <c r="F8" s="10"/>
      <c r="G8" s="10"/>
      <c r="H8" s="10">
        <f t="shared" ref="H8:I11" si="4">(D8-F$7)^2</f>
        <v>1.6000000000000029E-3</v>
      </c>
      <c r="I8" s="10">
        <f>(E8-G$7)^2</f>
        <v>3.9999999999998294E-4</v>
      </c>
      <c r="J8" s="10"/>
      <c r="K8" s="10"/>
      <c r="L8" s="10"/>
      <c r="M8" s="10"/>
    </row>
    <row r="9" spans="1:21" ht="15" customHeight="1">
      <c r="A9" s="9"/>
      <c r="B9" s="9"/>
      <c r="C9" s="9"/>
      <c r="D9" s="9">
        <v>1</v>
      </c>
      <c r="E9" s="9">
        <v>3.2</v>
      </c>
      <c r="F9" s="10"/>
      <c r="G9" s="10"/>
      <c r="H9" s="10">
        <f t="shared" si="4"/>
        <v>3.6000000000000064E-3</v>
      </c>
      <c r="I9" s="10">
        <f>(E9-G$7)^2</f>
        <v>3.9999999999998294E-4</v>
      </c>
      <c r="J9" s="10"/>
      <c r="K9" s="10"/>
      <c r="L9" s="10"/>
      <c r="M9" s="10"/>
    </row>
    <row r="10" spans="1:21" ht="15" customHeight="1">
      <c r="A10" s="9"/>
      <c r="B10" s="9"/>
      <c r="C10" s="9"/>
      <c r="D10" s="9">
        <v>1</v>
      </c>
      <c r="E10" s="9">
        <v>3.1</v>
      </c>
      <c r="F10" s="10"/>
      <c r="G10" s="10"/>
      <c r="H10" s="10">
        <f t="shared" si="4"/>
        <v>3.6000000000000064E-3</v>
      </c>
      <c r="I10" s="10">
        <f t="shared" si="4"/>
        <v>6.4000000000000827E-3</v>
      </c>
      <c r="J10" s="10"/>
      <c r="K10" s="10"/>
      <c r="L10" s="10"/>
      <c r="M10" s="10"/>
    </row>
    <row r="11" spans="1:21" s="14" customFormat="1" ht="15" customHeight="1" thickBot="1">
      <c r="A11" s="12"/>
      <c r="B11" s="12"/>
      <c r="C11" s="12"/>
      <c r="D11" s="12">
        <v>1.1000000000000001</v>
      </c>
      <c r="E11" s="12">
        <v>3.2</v>
      </c>
      <c r="F11" s="13"/>
      <c r="G11" s="13"/>
      <c r="H11" s="13">
        <f t="shared" si="4"/>
        <v>1.6000000000000029E-3</v>
      </c>
      <c r="I11" s="13">
        <f t="shared" si="4"/>
        <v>3.9999999999998294E-4</v>
      </c>
      <c r="J11" s="13"/>
      <c r="K11" s="13"/>
      <c r="L11" s="13"/>
      <c r="M11" s="13"/>
    </row>
    <row r="12" spans="1:21" ht="15.75">
      <c r="A12" s="10">
        <v>0.23400000000000001</v>
      </c>
      <c r="B12" s="10">
        <v>0.20599999999999999</v>
      </c>
      <c r="C12" s="9">
        <f>((A12-$A$31) - (B12-$B$31))/($B$29-$A$29)</f>
        <v>3.2954545454545445E-2</v>
      </c>
      <c r="D12" s="1">
        <v>0.8</v>
      </c>
      <c r="E12" s="1">
        <v>2.5</v>
      </c>
      <c r="F12" s="10">
        <f>AVERAGE(D12:D16)</f>
        <v>0.9</v>
      </c>
      <c r="G12" s="10">
        <f>AVERAGE(E12:E16)</f>
        <v>2.5799999999999996</v>
      </c>
      <c r="H12" s="10">
        <f>(D12-F$12)^2</f>
        <v>9.999999999999995E-3</v>
      </c>
      <c r="I12" s="10">
        <f>(E12-G$12)^2</f>
        <v>6.3999999999999405E-3</v>
      </c>
      <c r="J12" s="10">
        <f>SQRT(SUM(H12:H16)/20)</f>
        <v>3.1622776601683784E-2</v>
      </c>
      <c r="K12" s="10">
        <f>SQRT(SUM(I12:I16)/20)</f>
        <v>2.0000000000000018E-2</v>
      </c>
      <c r="L12" s="10">
        <v>2.78</v>
      </c>
      <c r="M12" s="10">
        <f>J12*L12</f>
        <v>8.7911318952680909E-2</v>
      </c>
      <c r="N12">
        <f>K12*L12</f>
        <v>5.5600000000000045E-2</v>
      </c>
      <c r="O12">
        <f>SQRT(M12^2 + (2/3 * 0.1)^2)</f>
        <v>0.11033061426659618</v>
      </c>
      <c r="P12">
        <f>SQRT(N12^2 + (2/3 * 0.1)^2)</f>
        <v>8.6809011308990561E-2</v>
      </c>
      <c r="Q12">
        <f t="shared" si="1"/>
        <v>12.25895714073291</v>
      </c>
      <c r="R12">
        <f t="shared" si="2"/>
        <v>3.3646903608135883</v>
      </c>
      <c r="S12">
        <f xml:space="preserve"> 2 * (B29-A29) / (G12^2-F12^2)</f>
        <v>0.30103995621237017</v>
      </c>
      <c r="T12">
        <f t="shared" si="3"/>
        <v>2.5345762232370894E-2</v>
      </c>
    </row>
    <row r="13" spans="1:21" ht="15" customHeight="1">
      <c r="A13" s="9"/>
      <c r="B13" s="9"/>
      <c r="C13" s="9"/>
      <c r="D13" s="1">
        <v>0.9</v>
      </c>
      <c r="E13" s="1">
        <v>2.6</v>
      </c>
      <c r="F13" s="10"/>
      <c r="G13" s="10"/>
      <c r="H13" s="10">
        <f>(D13-F$12)^2</f>
        <v>0</v>
      </c>
      <c r="I13" s="10">
        <f>(E13-G$12)^2</f>
        <v>4.0000000000001845E-4</v>
      </c>
      <c r="J13" s="10"/>
      <c r="K13" s="10"/>
      <c r="L13" s="10"/>
      <c r="M13" s="10"/>
    </row>
    <row r="14" spans="1:21" ht="15" customHeight="1">
      <c r="A14" s="9"/>
      <c r="B14" s="9"/>
      <c r="C14" s="9"/>
      <c r="D14" s="1">
        <v>0.9</v>
      </c>
      <c r="E14" s="1">
        <v>2.6</v>
      </c>
      <c r="F14" s="10"/>
      <c r="G14" s="10"/>
      <c r="H14" s="10">
        <f t="shared" ref="H14:I16" si="5">(D14-F$12)^2</f>
        <v>0</v>
      </c>
      <c r="I14" s="10">
        <f t="shared" si="5"/>
        <v>4.0000000000001845E-4</v>
      </c>
      <c r="J14" s="10"/>
      <c r="K14" s="10"/>
      <c r="L14" s="10"/>
      <c r="M14" s="10"/>
    </row>
    <row r="15" spans="1:21" ht="15" customHeight="1">
      <c r="A15" s="9"/>
      <c r="B15" s="9"/>
      <c r="C15" s="9"/>
      <c r="D15" s="9">
        <v>1</v>
      </c>
      <c r="E15" s="1">
        <v>2.6</v>
      </c>
      <c r="F15" s="10"/>
      <c r="G15" s="10"/>
      <c r="H15" s="10">
        <f t="shared" si="5"/>
        <v>9.999999999999995E-3</v>
      </c>
      <c r="I15" s="10">
        <f t="shared" si="5"/>
        <v>4.0000000000001845E-4</v>
      </c>
      <c r="J15" s="10"/>
      <c r="K15" s="10"/>
      <c r="L15" s="10"/>
      <c r="M15" s="10"/>
    </row>
    <row r="16" spans="1:21" s="14" customFormat="1" ht="15" customHeight="1" thickBot="1">
      <c r="A16" s="12"/>
      <c r="B16" s="12"/>
      <c r="C16" s="12"/>
      <c r="D16" s="15">
        <v>0.9</v>
      </c>
      <c r="E16" s="15">
        <v>2.6</v>
      </c>
      <c r="F16" s="13"/>
      <c r="G16" s="13"/>
      <c r="H16" s="13">
        <f t="shared" si="5"/>
        <v>0</v>
      </c>
      <c r="I16" s="13">
        <f t="shared" si="5"/>
        <v>4.0000000000001845E-4</v>
      </c>
      <c r="J16" s="13"/>
      <c r="K16" s="13"/>
      <c r="L16" s="13"/>
      <c r="M16" s="13"/>
    </row>
    <row r="17" spans="1:20" ht="15.75">
      <c r="A17" s="10">
        <v>0.24399999999999999</v>
      </c>
      <c r="B17" s="9">
        <v>0.20499999999999999</v>
      </c>
      <c r="C17" s="9">
        <f>((A17-$A$31) - (B17-$B$31))/($B$29-$A$29)</f>
        <v>4.5454545454545428E-2</v>
      </c>
      <c r="D17" s="1">
        <v>0.7</v>
      </c>
      <c r="E17" s="1">
        <v>2.2000000000000002</v>
      </c>
      <c r="F17" s="10">
        <f>AVERAGE(D17:D21)</f>
        <v>0.7</v>
      </c>
      <c r="G17" s="10">
        <f>AVERAGE(E17:E21)</f>
        <v>2.12</v>
      </c>
      <c r="H17" s="10">
        <f>(D17-F$17)^2</f>
        <v>0</v>
      </c>
      <c r="I17" s="10">
        <f>(E17-G$17)^2</f>
        <v>6.4000000000000116E-3</v>
      </c>
      <c r="J17" s="10">
        <f>SQRT(SUM(H17:H21)/20)</f>
        <v>0</v>
      </c>
      <c r="K17" s="10">
        <f>SQRT(SUM(I17:I21)/20)</f>
        <v>2.0000000000000018E-2</v>
      </c>
      <c r="L17" s="10">
        <v>2.78</v>
      </c>
      <c r="M17" s="10">
        <f>J17*L17</f>
        <v>0</v>
      </c>
      <c r="N17">
        <f>K17*L17</f>
        <v>5.5600000000000045E-2</v>
      </c>
      <c r="O17">
        <f>SQRT(M17^2 + (2/3 * 0.1)^2)</f>
        <v>6.6666666666666666E-2</v>
      </c>
      <c r="P17">
        <f>SQRT(N17^2 + (2/3 * 0.1)^2)</f>
        <v>8.6809011308990561E-2</v>
      </c>
      <c r="Q17">
        <f t="shared" si="1"/>
        <v>9.5238095238095255</v>
      </c>
      <c r="R17">
        <f t="shared" si="2"/>
        <v>4.0947646843863472</v>
      </c>
      <c r="S17">
        <f xml:space="preserve"> 2 * (B29-A29) / (G17^2-F17^2)</f>
        <v>0.4395165318150035</v>
      </c>
      <c r="T17">
        <f t="shared" si="3"/>
        <v>4.1826752834750555E-2</v>
      </c>
    </row>
    <row r="18" spans="1:20" ht="15" customHeight="1">
      <c r="A18" s="9"/>
      <c r="B18" s="9"/>
      <c r="C18" s="9"/>
      <c r="D18" s="1">
        <v>0.7</v>
      </c>
      <c r="E18" s="1">
        <v>2.1</v>
      </c>
      <c r="F18" s="10"/>
      <c r="G18" s="10"/>
      <c r="H18" s="10">
        <f t="shared" ref="H18:I21" si="6">(D18-F$17)^2</f>
        <v>0</v>
      </c>
      <c r="I18" s="10">
        <f t="shared" si="6"/>
        <v>4.0000000000000072E-4</v>
      </c>
      <c r="J18" s="10"/>
      <c r="K18" s="10"/>
      <c r="L18" s="10"/>
      <c r="M18" s="10"/>
    </row>
    <row r="19" spans="1:20" ht="15" customHeight="1">
      <c r="A19" s="9"/>
      <c r="B19" s="9"/>
      <c r="C19" s="9"/>
      <c r="D19" s="1">
        <v>0.7</v>
      </c>
      <c r="E19" s="1">
        <v>2.1</v>
      </c>
      <c r="F19" s="10"/>
      <c r="G19" s="10"/>
      <c r="H19" s="10">
        <f t="shared" si="6"/>
        <v>0</v>
      </c>
      <c r="I19" s="10">
        <f t="shared" si="6"/>
        <v>4.0000000000000072E-4</v>
      </c>
      <c r="J19" s="10"/>
      <c r="K19" s="10"/>
      <c r="L19" s="10"/>
      <c r="M19" s="10"/>
    </row>
    <row r="20" spans="1:20" ht="15" customHeight="1">
      <c r="A20" s="9"/>
      <c r="B20" s="9"/>
      <c r="C20" s="9"/>
      <c r="D20" s="1">
        <v>0.7</v>
      </c>
      <c r="E20" s="1">
        <v>2.1</v>
      </c>
      <c r="F20" s="10"/>
      <c r="G20" s="10"/>
      <c r="H20" s="10">
        <f t="shared" si="6"/>
        <v>0</v>
      </c>
      <c r="I20" s="10">
        <f t="shared" si="6"/>
        <v>4.0000000000000072E-4</v>
      </c>
      <c r="J20" s="10"/>
      <c r="K20" s="10"/>
      <c r="L20" s="10"/>
      <c r="M20" s="10"/>
    </row>
    <row r="21" spans="1:20" s="14" customFormat="1" ht="15" customHeight="1" thickBot="1">
      <c r="A21" s="12"/>
      <c r="B21" s="12"/>
      <c r="C21" s="12"/>
      <c r="D21" s="15">
        <v>0.7</v>
      </c>
      <c r="E21" s="15">
        <v>2.1</v>
      </c>
      <c r="F21" s="13"/>
      <c r="G21" s="13"/>
      <c r="H21" s="13">
        <f t="shared" si="6"/>
        <v>0</v>
      </c>
      <c r="I21" s="13">
        <f t="shared" si="6"/>
        <v>4.0000000000000072E-4</v>
      </c>
      <c r="J21" s="13"/>
      <c r="K21" s="13"/>
      <c r="L21" s="13"/>
      <c r="M21" s="13"/>
    </row>
    <row r="22" spans="1:20" ht="15.75">
      <c r="A22" s="9">
        <v>0.254</v>
      </c>
      <c r="B22" s="9">
        <v>0.20599999999999999</v>
      </c>
      <c r="C22" s="9">
        <f>((A22-$A$31) - (B22-$B$31))/($B$29-$A$29)</f>
        <v>5.5681818181818159E-2</v>
      </c>
      <c r="D22" s="1">
        <v>0.7</v>
      </c>
      <c r="E22" s="1">
        <v>1.9</v>
      </c>
      <c r="F22" s="10">
        <f>AVERAGE(D22:D26)</f>
        <v>0.65999999999999992</v>
      </c>
      <c r="G22" s="10">
        <f>AVERAGE(E22:E26)</f>
        <v>1.9600000000000002</v>
      </c>
      <c r="H22" s="10">
        <f>(D22-F$22)^2</f>
        <v>1.6000000000000029E-3</v>
      </c>
      <c r="I22" s="10">
        <f>(E22-G$22)^2</f>
        <v>3.6000000000000329E-3</v>
      </c>
      <c r="J22" s="10">
        <f>SQRT(SUM(H22:H26)/20)</f>
        <v>2.4494897427831772E-2</v>
      </c>
      <c r="K22" s="10">
        <f>SQRT(SUM(I22:I26)/20)</f>
        <v>2.4494897427831803E-2</v>
      </c>
      <c r="L22" s="10">
        <v>2.78</v>
      </c>
      <c r="M22" s="10">
        <f>J22*L22</f>
        <v>6.8095814849372327E-2</v>
      </c>
      <c r="N22">
        <f>K22*L22</f>
        <v>6.809581484937241E-2</v>
      </c>
      <c r="O22">
        <f>SQRT(M22^2 + (2/3 * 0.1)^2)</f>
        <v>9.5296822845488613E-2</v>
      </c>
      <c r="P22">
        <f>SQRT(N22^2 + (2/3 * 0.1)^2)</f>
        <v>9.5296822845488682E-2</v>
      </c>
      <c r="Q22">
        <f t="shared" si="1"/>
        <v>14.438912552346761</v>
      </c>
      <c r="R22">
        <f t="shared" si="2"/>
        <v>4.8620827982392179</v>
      </c>
      <c r="S22">
        <f xml:space="preserve"> 2 * (B29-A29) / (G22^2-F22^2)</f>
        <v>0.51673517322372287</v>
      </c>
      <c r="T22">
        <f t="shared" si="3"/>
        <v>5.9945402623906213E-2</v>
      </c>
    </row>
    <row r="23" spans="1:20" ht="15" customHeight="1">
      <c r="A23" s="9"/>
      <c r="B23" s="9"/>
      <c r="C23" s="9"/>
      <c r="D23" s="1">
        <v>0.6</v>
      </c>
      <c r="E23" s="1">
        <v>2</v>
      </c>
      <c r="F23" s="10"/>
      <c r="G23" s="10"/>
      <c r="H23" s="10">
        <f t="shared" ref="H23:I26" si="7">(D23-F$22)^2</f>
        <v>3.599999999999993E-3</v>
      </c>
      <c r="I23" s="10">
        <f t="shared" si="7"/>
        <v>1.5999999999999851E-3</v>
      </c>
      <c r="J23" s="10"/>
      <c r="K23" s="10"/>
      <c r="L23" s="10"/>
      <c r="M23" s="10"/>
    </row>
    <row r="24" spans="1:20" ht="15" customHeight="1">
      <c r="A24" s="9"/>
      <c r="B24" s="9"/>
      <c r="C24" s="9"/>
      <c r="D24" s="1">
        <v>0.7</v>
      </c>
      <c r="E24" s="1">
        <v>2</v>
      </c>
      <c r="F24" s="10"/>
      <c r="G24" s="10"/>
      <c r="H24" s="10">
        <f t="shared" si="7"/>
        <v>1.6000000000000029E-3</v>
      </c>
      <c r="I24" s="10">
        <f t="shared" si="7"/>
        <v>1.5999999999999851E-3</v>
      </c>
      <c r="J24" s="10"/>
      <c r="K24" s="10"/>
      <c r="L24" s="10"/>
      <c r="M24" s="10"/>
    </row>
    <row r="25" spans="1:20" ht="15" customHeight="1">
      <c r="A25" s="9"/>
      <c r="B25" s="9"/>
      <c r="C25" s="9"/>
      <c r="D25" s="1">
        <v>0.7</v>
      </c>
      <c r="E25" s="1">
        <v>2</v>
      </c>
      <c r="F25" s="10"/>
      <c r="G25" s="10"/>
      <c r="H25" s="10">
        <f t="shared" si="7"/>
        <v>1.6000000000000029E-3</v>
      </c>
      <c r="I25" s="10">
        <f t="shared" si="7"/>
        <v>1.5999999999999851E-3</v>
      </c>
      <c r="J25" s="10"/>
      <c r="K25" s="10"/>
      <c r="L25" s="10"/>
      <c r="M25" s="10"/>
    </row>
    <row r="26" spans="1:20" ht="15" customHeight="1">
      <c r="A26" s="9"/>
      <c r="B26" s="9"/>
      <c r="C26" s="9"/>
      <c r="D26" s="11">
        <v>0.6</v>
      </c>
      <c r="E26" s="11">
        <v>1.9</v>
      </c>
      <c r="F26" s="10"/>
      <c r="G26" s="10"/>
      <c r="H26" s="10">
        <f t="shared" si="7"/>
        <v>3.599999999999993E-3</v>
      </c>
      <c r="I26" s="10">
        <f t="shared" si="7"/>
        <v>3.6000000000000329E-3</v>
      </c>
      <c r="J26" s="10"/>
      <c r="K26" s="10"/>
      <c r="L26" s="10"/>
      <c r="M26" s="10"/>
    </row>
    <row r="27" spans="1:20" ht="15.7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20" ht="15.75">
      <c r="A28" s="10" t="s">
        <v>15</v>
      </c>
      <c r="B28" s="10" t="s">
        <v>16</v>
      </c>
      <c r="C28" s="10"/>
      <c r="D28" s="10" t="s">
        <v>38</v>
      </c>
      <c r="E28" s="10" t="s">
        <v>39</v>
      </c>
      <c r="F28" s="10" t="s">
        <v>40</v>
      </c>
      <c r="G28" s="10" t="s">
        <v>41</v>
      </c>
      <c r="H28" s="10" t="s">
        <v>37</v>
      </c>
      <c r="I28" s="10" t="s">
        <v>42</v>
      </c>
      <c r="J28" s="17" t="s">
        <v>45</v>
      </c>
      <c r="K28" s="10" t="s">
        <v>44</v>
      </c>
      <c r="L28" s="10" t="s">
        <v>43</v>
      </c>
      <c r="M28" s="17" t="s">
        <v>46</v>
      </c>
      <c r="N28" s="4" t="s">
        <v>47</v>
      </c>
    </row>
    <row r="29" spans="1:20" ht="15.75">
      <c r="A29" s="10">
        <v>0.22</v>
      </c>
      <c r="B29" s="10">
        <v>1.1000000000000001</v>
      </c>
      <c r="C29" s="10"/>
      <c r="D29" s="10">
        <f>S2</f>
        <v>7.0439446089810301E-2</v>
      </c>
      <c r="E29" s="10">
        <f>C2</f>
        <v>7.9545454545454294E-3</v>
      </c>
      <c r="F29" s="10">
        <f>E29^2</f>
        <v>6.3274793388429354E-5</v>
      </c>
      <c r="G29" s="10">
        <f>D29*E29</f>
        <v>5.6031377571439831E-4</v>
      </c>
      <c r="H29" s="10">
        <f>(SUM(G29:G33) - 1/5 * SUM(D29:D33) * SUM(E29:E33)) / (SUM(F29:F33) - 1/5 * (SUM(E29:E33)^2))</f>
        <v>9.5315528870291608</v>
      </c>
      <c r="I29" s="10">
        <f>1/5 * (SUM(D29:D33) - H29 * SUM(E29:E33))</f>
        <v>-7.2356660194190514E-3</v>
      </c>
      <c r="J29" s="10">
        <f>(D29-($I$29+$H$29*E29))^2</f>
        <v>3.4445185431584691E-6</v>
      </c>
      <c r="K29" s="10">
        <f>SUM(F29:F33) - 1/5 * SUM(E29:E33)^2</f>
        <v>1.4266528925619823E-3</v>
      </c>
      <c r="L29" s="10">
        <f>SQRT(SUM(J29:J33)/(K29*3))</f>
        <v>0.25258882307254171</v>
      </c>
      <c r="M29" s="10">
        <f>2*L29</f>
        <v>0.50517764614508343</v>
      </c>
      <c r="N29">
        <f>M29/H29*100</f>
        <v>5.3000560573140731</v>
      </c>
    </row>
    <row r="30" spans="1:20" ht="15.75">
      <c r="A30" s="10" t="s">
        <v>17</v>
      </c>
      <c r="B30" s="10" t="s">
        <v>18</v>
      </c>
      <c r="C30" s="10"/>
      <c r="D30" s="10">
        <f>S7</f>
        <v>0.1957992168031327</v>
      </c>
      <c r="E30" s="10">
        <f>C7</f>
        <v>2.1590909090909077E-2</v>
      </c>
      <c r="F30" s="10">
        <f t="shared" ref="F30:F33" si="8">E30^2</f>
        <v>4.6616735537190023E-4</v>
      </c>
      <c r="G30" s="10">
        <f t="shared" ref="G30:G33" si="9">D30*E30</f>
        <v>4.2274830900676354E-3</v>
      </c>
      <c r="H30" s="10"/>
      <c r="I30" s="10"/>
      <c r="J30" s="10">
        <f t="shared" ref="J30:J33" si="10">(D30-($I$29+$H$29*E30))^2</f>
        <v>7.6176499918892824E-6</v>
      </c>
      <c r="K30" s="10"/>
      <c r="L30" s="10"/>
      <c r="M30" s="10"/>
    </row>
    <row r="31" spans="1:20" ht="15.75">
      <c r="A31" s="10">
        <v>0.20300000000000001</v>
      </c>
      <c r="B31" s="10">
        <v>0.20399999999999999</v>
      </c>
      <c r="C31" s="10"/>
      <c r="D31" s="10">
        <f>S12</f>
        <v>0.30103995621237017</v>
      </c>
      <c r="E31" s="10">
        <f>C12</f>
        <v>3.2954545454545445E-2</v>
      </c>
      <c r="F31" s="10">
        <f t="shared" si="8"/>
        <v>1.0860020661157019E-3</v>
      </c>
      <c r="G31" s="10">
        <f t="shared" si="9"/>
        <v>9.9206349206349236E-3</v>
      </c>
      <c r="H31" s="10"/>
      <c r="I31" s="10"/>
      <c r="J31" s="10">
        <f t="shared" si="10"/>
        <v>3.4016547238207576E-5</v>
      </c>
      <c r="K31" s="10"/>
      <c r="L31" s="10"/>
      <c r="M31" s="10"/>
    </row>
    <row r="32" spans="1:20" ht="15.75">
      <c r="A32" s="8"/>
      <c r="B32" s="8"/>
      <c r="C32" s="8"/>
      <c r="D32" s="8">
        <f>S17</f>
        <v>0.4395165318150035</v>
      </c>
      <c r="E32" s="8">
        <f>C17</f>
        <v>4.5454545454545428E-2</v>
      </c>
      <c r="F32" s="10">
        <f t="shared" si="8"/>
        <v>2.0661157024793363E-3</v>
      </c>
      <c r="G32" s="10">
        <f t="shared" si="9"/>
        <v>1.9978024173409239E-2</v>
      </c>
      <c r="J32" s="10">
        <f t="shared" si="10"/>
        <v>1.822444347633868E-4</v>
      </c>
    </row>
    <row r="33" spans="1:10" ht="15.75">
      <c r="D33">
        <f>S22</f>
        <v>0.51673517322372287</v>
      </c>
      <c r="E33">
        <f>C22</f>
        <v>5.5681818181818159E-2</v>
      </c>
      <c r="F33" s="10">
        <f t="shared" si="8"/>
        <v>3.1004648760330554E-3</v>
      </c>
      <c r="G33" s="10">
        <f t="shared" si="9"/>
        <v>2.8772753963593647E-2</v>
      </c>
      <c r="J33" s="10">
        <f t="shared" si="10"/>
        <v>4.5742979009922437E-5</v>
      </c>
    </row>
    <row r="36" spans="1:10">
      <c r="B36" t="s">
        <v>54</v>
      </c>
      <c r="C36" t="s">
        <v>10</v>
      </c>
    </row>
    <row r="37" spans="1:10">
      <c r="B37">
        <v>8.0000000000000002E-3</v>
      </c>
      <c r="C37">
        <v>7.0000000000000007E-2</v>
      </c>
    </row>
    <row r="38" spans="1:10">
      <c r="B38">
        <v>2.1999999999999999E-2</v>
      </c>
      <c r="C38">
        <v>0.2</v>
      </c>
    </row>
    <row r="39" spans="1:10">
      <c r="B39">
        <v>3.3000000000000002E-2</v>
      </c>
      <c r="C39">
        <v>0.3</v>
      </c>
    </row>
    <row r="40" spans="1:10">
      <c r="B40">
        <v>4.5999999999999999E-2</v>
      </c>
      <c r="C40">
        <v>0.44</v>
      </c>
    </row>
    <row r="41" spans="1:10">
      <c r="B41">
        <v>5.6000000000000001E-2</v>
      </c>
      <c r="C41">
        <v>0.52</v>
      </c>
    </row>
    <row r="45" spans="1:10">
      <c r="A45" t="s">
        <v>42</v>
      </c>
      <c r="B45">
        <v>-7.0000000000000001E-3</v>
      </c>
    </row>
    <row r="46" spans="1:10">
      <c r="A46" t="s">
        <v>55</v>
      </c>
      <c r="B46">
        <v>9.5299999999999994</v>
      </c>
    </row>
    <row r="47" spans="1:10">
      <c r="C47" t="s">
        <v>10</v>
      </c>
      <c r="D47" t="s">
        <v>57</v>
      </c>
    </row>
    <row r="48" spans="1:10">
      <c r="A48" s="18" t="s">
        <v>56</v>
      </c>
      <c r="C48">
        <v>7.0000000000000007E-2</v>
      </c>
      <c r="D48">
        <f>$B$45+$B$46*B37</f>
        <v>6.9239999999999996E-2</v>
      </c>
    </row>
    <row r="49" spans="3:4">
      <c r="C49">
        <v>0.2</v>
      </c>
      <c r="D49">
        <f t="shared" ref="D49:D52" si="11">$B$45+$B$46*B38</f>
        <v>0.20265999999999998</v>
      </c>
    </row>
    <row r="50" spans="3:4">
      <c r="C50">
        <v>0.3</v>
      </c>
      <c r="D50">
        <f t="shared" si="11"/>
        <v>0.30748999999999999</v>
      </c>
    </row>
    <row r="51" spans="3:4">
      <c r="C51">
        <v>0.44</v>
      </c>
      <c r="D51">
        <f t="shared" si="11"/>
        <v>0.43137999999999993</v>
      </c>
    </row>
    <row r="52" spans="3:4">
      <c r="C52">
        <v>0.52</v>
      </c>
      <c r="D52">
        <f t="shared" si="11"/>
        <v>0.52667999999999993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Зыков</dc:creator>
  <cp:lastModifiedBy>Андрей Зыков</cp:lastModifiedBy>
  <dcterms:created xsi:type="dcterms:W3CDTF">2025-09-21T14:59:08Z</dcterms:created>
  <dcterms:modified xsi:type="dcterms:W3CDTF">2025-09-21T23:04:52Z</dcterms:modified>
</cp:coreProperties>
</file>