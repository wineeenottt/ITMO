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FAF3419E-D4D0-444C-9E5F-BD81E398602D}" xr6:coauthVersionLast="47" xr6:coauthVersionMax="47" xr10:uidLastSave="{00000000-0000-0000-0000-000000000000}"/>
  <bookViews>
    <workbookView xWindow="-120" yWindow="-120" windowWidth="38640" windowHeight="21120" xr2:uid="{D85DB02C-2AA5-4AB4-9771-B68D328D49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52" i="1" l="1"/>
  <c r="AC53" i="1"/>
  <c r="AC54" i="1"/>
  <c r="AC55" i="1"/>
  <c r="AC56" i="1"/>
  <c r="AC57" i="1"/>
  <c r="AC51" i="1"/>
  <c r="AB40" i="1"/>
  <c r="AB41" i="1"/>
  <c r="AB42" i="1"/>
  <c r="AB43" i="1"/>
  <c r="AB44" i="1"/>
  <c r="AB45" i="1"/>
  <c r="AB39" i="1"/>
  <c r="I49" i="1" l="1"/>
  <c r="K53" i="1" s="1"/>
  <c r="C55" i="1"/>
  <c r="H55" i="1" s="1"/>
  <c r="C54" i="1"/>
  <c r="H54" i="1" s="1"/>
  <c r="C53" i="1"/>
  <c r="H53" i="1" s="1"/>
  <c r="C52" i="1"/>
  <c r="H52" i="1" s="1"/>
  <c r="C51" i="1"/>
  <c r="H51" i="1" s="1"/>
  <c r="C50" i="1"/>
  <c r="H50" i="1" s="1"/>
  <c r="C49" i="1"/>
  <c r="H49" i="1" s="1"/>
  <c r="C44" i="1"/>
  <c r="C43" i="1"/>
  <c r="C42" i="1"/>
  <c r="C41" i="1"/>
  <c r="C40" i="1"/>
  <c r="C39" i="1"/>
  <c r="C38" i="1"/>
  <c r="C29" i="1"/>
  <c r="B29" i="1"/>
  <c r="J31" i="1" s="1"/>
  <c r="C20" i="1"/>
  <c r="H20" i="1" s="1"/>
  <c r="I20" i="1" s="1"/>
  <c r="B20" i="1"/>
  <c r="G21" i="1" s="1"/>
  <c r="C11" i="1"/>
  <c r="B11" i="1"/>
  <c r="C2" i="1"/>
  <c r="B2" i="1"/>
  <c r="G50" i="1"/>
  <c r="G51" i="1"/>
  <c r="G52" i="1"/>
  <c r="G53" i="1"/>
  <c r="G54" i="1"/>
  <c r="G55" i="1"/>
  <c r="G49" i="1"/>
  <c r="I38" i="1"/>
  <c r="K42" i="1" s="1"/>
  <c r="M42" i="1" s="1"/>
  <c r="C46" i="1"/>
  <c r="G39" i="1"/>
  <c r="G40" i="1"/>
  <c r="G41" i="1"/>
  <c r="G42" i="1"/>
  <c r="G43" i="1"/>
  <c r="G44" i="1"/>
  <c r="G38" i="1"/>
  <c r="K29" i="1"/>
  <c r="J30" i="1"/>
  <c r="G20" i="1"/>
  <c r="K12" i="1"/>
  <c r="K14" i="1"/>
  <c r="K15" i="1"/>
  <c r="K11" i="1"/>
  <c r="I11" i="1"/>
  <c r="I12" i="1"/>
  <c r="I13" i="1"/>
  <c r="I14" i="1"/>
  <c r="I15" i="1"/>
  <c r="H12" i="1"/>
  <c r="H13" i="1"/>
  <c r="H14" i="1"/>
  <c r="H15" i="1"/>
  <c r="H11" i="1"/>
  <c r="G12" i="1"/>
  <c r="G13" i="1"/>
  <c r="G14" i="1"/>
  <c r="G15" i="1"/>
  <c r="G11" i="1"/>
  <c r="K3" i="1"/>
  <c r="K4" i="1"/>
  <c r="K5" i="1"/>
  <c r="K6" i="1"/>
  <c r="K2" i="1"/>
  <c r="M2" i="1" s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J49" i="1" l="1"/>
  <c r="L50" i="1"/>
  <c r="L52" i="1"/>
  <c r="L53" i="1"/>
  <c r="L54" i="1"/>
  <c r="L55" i="1"/>
  <c r="M53" i="1"/>
  <c r="N53" i="1"/>
  <c r="J22" i="1"/>
  <c r="K51" i="1"/>
  <c r="K54" i="1"/>
  <c r="G29" i="1"/>
  <c r="H39" i="1"/>
  <c r="G32" i="1"/>
  <c r="K52" i="1"/>
  <c r="K50" i="1"/>
  <c r="G33" i="1"/>
  <c r="G31" i="1"/>
  <c r="G30" i="1"/>
  <c r="J24" i="1"/>
  <c r="H33" i="1"/>
  <c r="K55" i="1"/>
  <c r="J23" i="1"/>
  <c r="K49" i="1"/>
  <c r="G24" i="1"/>
  <c r="J20" i="1"/>
  <c r="J21" i="1"/>
  <c r="G23" i="1"/>
  <c r="J29" i="1"/>
  <c r="M29" i="1" s="1"/>
  <c r="H24" i="1"/>
  <c r="I24" i="1" s="1"/>
  <c r="H23" i="1"/>
  <c r="I23" i="1" s="1"/>
  <c r="H22" i="1"/>
  <c r="I22" i="1" s="1"/>
  <c r="H21" i="1"/>
  <c r="I21" i="1" s="1"/>
  <c r="L20" i="1" s="1"/>
  <c r="N20" i="1" s="1"/>
  <c r="H32" i="1"/>
  <c r="I32" i="1" s="1"/>
  <c r="G22" i="1"/>
  <c r="J33" i="1"/>
  <c r="O33" i="1" s="1"/>
  <c r="K20" i="1"/>
  <c r="H29" i="1"/>
  <c r="I29" i="1" s="1"/>
  <c r="H31" i="1"/>
  <c r="I31" i="1" s="1"/>
  <c r="H30" i="1"/>
  <c r="J32" i="1"/>
  <c r="I30" i="1"/>
  <c r="I33" i="1"/>
  <c r="K13" i="1"/>
  <c r="J11" i="1"/>
  <c r="L11" i="1" s="1"/>
  <c r="N13" i="1" s="1"/>
  <c r="M11" i="1"/>
  <c r="O12" i="1" s="1"/>
  <c r="J15" i="1"/>
  <c r="J14" i="1"/>
  <c r="J13" i="1"/>
  <c r="J12" i="1"/>
  <c r="J5" i="1"/>
  <c r="L2" i="1" s="1"/>
  <c r="O6" i="1"/>
  <c r="O5" i="1"/>
  <c r="O3" i="1"/>
  <c r="O4" i="1"/>
  <c r="J3" i="1"/>
  <c r="J4" i="1"/>
  <c r="J2" i="1"/>
  <c r="O13" i="1"/>
  <c r="O14" i="1"/>
  <c r="K40" i="1"/>
  <c r="M40" i="1" s="1"/>
  <c r="K43" i="1"/>
  <c r="M43" i="1" s="1"/>
  <c r="K38" i="1"/>
  <c r="M38" i="1" s="1"/>
  <c r="H44" i="1"/>
  <c r="K44" i="1"/>
  <c r="M44" i="1" s="1"/>
  <c r="H43" i="1"/>
  <c r="K41" i="1"/>
  <c r="M41" i="1" s="1"/>
  <c r="K39" i="1"/>
  <c r="M39" i="1" s="1"/>
  <c r="H42" i="1"/>
  <c r="H41" i="1"/>
  <c r="H40" i="1"/>
  <c r="O2" i="1"/>
  <c r="H38" i="1"/>
  <c r="J6" i="1"/>
  <c r="N24" i="1" l="1"/>
  <c r="L29" i="1"/>
  <c r="O32" i="1"/>
  <c r="O31" i="1"/>
  <c r="O30" i="1"/>
  <c r="O11" i="1"/>
  <c r="M54" i="1"/>
  <c r="N54" i="1"/>
  <c r="Q38" i="1"/>
  <c r="M51" i="1"/>
  <c r="O15" i="1"/>
  <c r="M20" i="1"/>
  <c r="Q2" i="1"/>
  <c r="M55" i="1"/>
  <c r="N55" i="1"/>
  <c r="L49" i="1"/>
  <c r="N49" i="1" s="1"/>
  <c r="L51" i="1"/>
  <c r="N51" i="1" s="1"/>
  <c r="M52" i="1"/>
  <c r="N52" i="1"/>
  <c r="O29" i="1"/>
  <c r="M49" i="1"/>
  <c r="M50" i="1"/>
  <c r="N50" i="1"/>
  <c r="N29" i="1"/>
  <c r="N33" i="1"/>
  <c r="N30" i="1"/>
  <c r="N31" i="1"/>
  <c r="N32" i="1"/>
  <c r="N12" i="1"/>
  <c r="N14" i="1"/>
  <c r="N15" i="1"/>
  <c r="N22" i="1"/>
  <c r="Q29" i="1"/>
  <c r="N11" i="1"/>
  <c r="P11" i="1" s="1"/>
  <c r="N23" i="1"/>
  <c r="Q11" i="1"/>
  <c r="J38" i="1"/>
  <c r="L38" i="1" s="1"/>
  <c r="N38" i="1" s="1"/>
  <c r="N21" i="1"/>
  <c r="N4" i="1"/>
  <c r="N3" i="1"/>
  <c r="N5" i="1"/>
  <c r="N6" i="1"/>
  <c r="N2" i="1"/>
  <c r="O49" i="1" l="1"/>
  <c r="O24" i="1"/>
  <c r="O23" i="1"/>
  <c r="O20" i="1"/>
  <c r="O21" i="1"/>
  <c r="Q49" i="1"/>
  <c r="P2" i="1"/>
  <c r="O22" i="1"/>
  <c r="L44" i="1"/>
  <c r="N44" i="1" s="1"/>
  <c r="L40" i="1"/>
  <c r="N40" i="1" s="1"/>
  <c r="L39" i="1"/>
  <c r="N39" i="1" s="1"/>
  <c r="O38" i="1" s="1"/>
  <c r="P29" i="1"/>
  <c r="P20" i="1"/>
  <c r="L43" i="1"/>
  <c r="N43" i="1" s="1"/>
  <c r="L42" i="1"/>
  <c r="N42" i="1" s="1"/>
  <c r="L41" i="1"/>
  <c r="N41" i="1" s="1"/>
  <c r="Q20" i="1" l="1"/>
  <c r="P49" i="1"/>
  <c r="P38" i="1"/>
  <c r="R39" i="1" s="1"/>
  <c r="R42" i="1"/>
  <c r="R41" i="1"/>
  <c r="R44" i="1"/>
  <c r="R43" i="1"/>
  <c r="R38" i="1"/>
  <c r="R51" i="1" l="1"/>
  <c r="R54" i="1"/>
  <c r="R52" i="1"/>
  <c r="R49" i="1"/>
  <c r="R50" i="1"/>
  <c r="R53" i="1"/>
  <c r="R55" i="1"/>
  <c r="R40" i="1"/>
  <c r="S38" i="1"/>
  <c r="T38" i="1" s="1"/>
  <c r="S49" i="1" l="1"/>
  <c r="T49" i="1" s="1"/>
</calcChain>
</file>

<file path=xl/sharedStrings.xml><?xml version="1.0" encoding="utf-8"?>
<sst xmlns="http://schemas.openxmlformats.org/spreadsheetml/2006/main" count="134" uniqueCount="64">
  <si>
    <t>№ опыта</t>
  </si>
  <si>
    <r>
      <t>v</t>
    </r>
    <r>
      <rPr>
        <vertAlign val="subscript"/>
        <sz val="12"/>
        <color rgb="FF000000"/>
        <rFont val="Times New Roman"/>
        <family val="1"/>
        <charset val="204"/>
      </rPr>
      <t>10x</t>
    </r>
    <r>
      <rPr>
        <sz val="12"/>
        <color rgb="FF000000"/>
        <rFont val="Times New Roman"/>
        <family val="1"/>
        <charset val="204"/>
      </rPr>
      <t>, м/с</t>
    </r>
  </si>
  <si>
    <r>
      <t>v</t>
    </r>
    <r>
      <rPr>
        <vertAlign val="subscript"/>
        <sz val="12"/>
        <color rgb="FF000000"/>
        <rFont val="Times New Roman"/>
        <family val="1"/>
        <charset val="204"/>
      </rPr>
      <t>1x</t>
    </r>
    <r>
      <rPr>
        <sz val="12"/>
        <color rgb="FF000000"/>
        <rFont val="Times New Roman"/>
        <family val="1"/>
        <charset val="204"/>
      </rPr>
      <t>, м/с</t>
    </r>
  </si>
  <si>
    <r>
      <t>v</t>
    </r>
    <r>
      <rPr>
        <vertAlign val="subscript"/>
        <sz val="12"/>
        <color rgb="FF000000"/>
        <rFont val="Times New Roman"/>
        <family val="1"/>
        <charset val="204"/>
      </rPr>
      <t>2x</t>
    </r>
    <r>
      <rPr>
        <sz val="12"/>
        <color rgb="FF000000"/>
        <rFont val="Times New Roman"/>
        <family val="1"/>
        <charset val="204"/>
      </rPr>
      <t>, м/с</t>
    </r>
  </si>
  <si>
    <t>p10x, кг*м/с</t>
  </si>
  <si>
    <t>p1x, кг*м/с</t>
  </si>
  <si>
    <t>p2x, кг*м/с</t>
  </si>
  <si>
    <t>𝛿p</t>
  </si>
  <si>
    <t>𝛿W</t>
  </si>
  <si>
    <t>𝛿p ср.</t>
  </si>
  <si>
    <t>𝛿W ср.</t>
  </si>
  <si>
    <t>Δ𝛿W ср.</t>
  </si>
  <si>
    <t>Δδp ср.</t>
  </si>
  <si>
    <t>tα,N</t>
  </si>
  <si>
    <t>(𝛿pi - 𝛿p ср.)^2</t>
  </si>
  <si>
    <t>(𝛿W - 𝛿W ср.)^2</t>
  </si>
  <si>
    <r>
      <t>v</t>
    </r>
    <r>
      <rPr>
        <vertAlign val="subscript"/>
        <sz val="12"/>
        <color rgb="FF000000"/>
        <rFont val="Times New Roman"/>
        <family val="1"/>
        <charset val="204"/>
      </rPr>
      <t>10</t>
    </r>
    <r>
      <rPr>
        <sz val="12"/>
        <color rgb="FF000000"/>
        <rFont val="Times New Roman"/>
        <family val="1"/>
        <charset val="204"/>
      </rPr>
      <t>, м/с</t>
    </r>
  </si>
  <si>
    <t>v, м/с</t>
  </si>
  <si>
    <t>p10, кг*м/с</t>
  </si>
  <si>
    <t>p, кг*м/с</t>
  </si>
  <si>
    <t>𝛿Wэ</t>
  </si>
  <si>
    <t>𝛿Wт</t>
  </si>
  <si>
    <t>𝛿Wэ ср.</t>
  </si>
  <si>
    <t>Δ𝛿Wэ ср.</t>
  </si>
  <si>
    <r>
      <t>v</t>
    </r>
    <r>
      <rPr>
        <vertAlign val="subscript"/>
        <sz val="7"/>
        <color rgb="FF000000"/>
        <rFont val="Times New Roman"/>
        <family val="1"/>
        <charset val="204"/>
      </rPr>
      <t>10</t>
    </r>
    <r>
      <rPr>
        <sz val="12"/>
        <color rgb="FF000000"/>
        <rFont val="Times New Roman"/>
        <family val="1"/>
        <charset val="204"/>
      </rPr>
      <t>, м/с</t>
    </r>
  </si>
  <si>
    <t>(𝛿Wэ - 𝛿Wэ ср.)^2</t>
  </si>
  <si>
    <t>Состав гирьки</t>
  </si>
  <si>
    <r>
      <t>v</t>
    </r>
    <r>
      <rPr>
        <vertAlign val="subscript"/>
        <sz val="12"/>
        <color rgb="FF000000"/>
        <rFont val="Times New Roman"/>
        <family val="1"/>
        <charset val="204"/>
      </rPr>
      <t>1</t>
    </r>
    <r>
      <rPr>
        <sz val="12"/>
        <color rgb="FF000000"/>
        <rFont val="Times New Roman"/>
        <family val="1"/>
        <charset val="204"/>
      </rPr>
      <t>, м/с</t>
    </r>
  </si>
  <si>
    <r>
      <t>v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, м/с</t>
    </r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</si>
  <si>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</si>
  <si>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</si>
  <si>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</si>
  <si>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</si>
  <si>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</si>
  <si>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</si>
  <si>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</si>
  <si>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x1, м</t>
  </si>
  <si>
    <t>x2, м</t>
  </si>
  <si>
    <t>a, м/с^2</t>
  </si>
  <si>
    <t>T, Н</t>
  </si>
  <si>
    <t>g, м/с^2</t>
  </si>
  <si>
    <t>a ср.</t>
  </si>
  <si>
    <t>T ср.</t>
  </si>
  <si>
    <t>ai - a ср.</t>
  </si>
  <si>
    <t>Ti - T ср.</t>
  </si>
  <si>
    <t>(ai - a ср.)^2</t>
  </si>
  <si>
    <t>(ai - a ср.)*(Ti - T ср.)</t>
  </si>
  <si>
    <t>Fтр</t>
  </si>
  <si>
    <t>D</t>
  </si>
  <si>
    <t>SM</t>
  </si>
  <si>
    <t>di^2</t>
  </si>
  <si>
    <r>
      <rPr>
        <sz val="12"/>
        <color theme="1"/>
        <rFont val="Aptos Narrow"/>
        <family val="2"/>
      </rPr>
      <t>Δ</t>
    </r>
    <r>
      <rPr>
        <sz val="12"/>
        <color theme="1"/>
        <rFont val="Times New Roman"/>
        <family val="1"/>
        <charset val="204"/>
      </rPr>
      <t>M1</t>
    </r>
  </si>
  <si>
    <t>M1</t>
  </si>
  <si>
    <r>
      <t>m</t>
    </r>
    <r>
      <rPr>
        <vertAlign val="subscript"/>
        <sz val="12"/>
        <color rgb="FF000000"/>
        <rFont val="Times New Roman"/>
        <family val="1"/>
        <charset val="204"/>
      </rPr>
      <t>1</t>
    </r>
    <r>
      <rPr>
        <sz val="12"/>
        <color rgb="FF000000"/>
        <rFont val="Times New Roman"/>
        <family val="1"/>
        <charset val="204"/>
      </rPr>
      <t>, кг</t>
    </r>
  </si>
  <si>
    <r>
      <t>m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, кг</t>
    </r>
  </si>
  <si>
    <r>
      <t>m</t>
    </r>
    <r>
      <rPr>
        <vertAlign val="subscript"/>
        <sz val="7"/>
        <color rgb="FF000000"/>
        <rFont val="Times New Roman"/>
        <family val="1"/>
        <charset val="204"/>
      </rPr>
      <t>1</t>
    </r>
    <r>
      <rPr>
        <sz val="12"/>
        <color rgb="FF000000"/>
        <rFont val="Times New Roman"/>
        <family val="1"/>
        <charset val="204"/>
      </rPr>
      <t>, кг</t>
    </r>
  </si>
  <si>
    <r>
      <t>m</t>
    </r>
    <r>
      <rPr>
        <vertAlign val="subscript"/>
        <sz val="7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, кг</t>
    </r>
  </si>
  <si>
    <t>m, кг</t>
  </si>
  <si>
    <t>опыт с гирьками</t>
  </si>
  <si>
    <t>опыт с гирьками и утяжелителем</t>
  </si>
  <si>
    <t>a</t>
  </si>
  <si>
    <t>T</t>
  </si>
  <si>
    <t>m1*a+dm1</t>
  </si>
  <si>
    <t>а 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</si>
</sst>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vertAlign val="subscript"/>
      <sz val="12"/>
      <color rgb="FF000000"/>
      <name val="Times New Roman"/>
      <family val="1"/>
      <charset val="204"/>
    </font>
    <font>
      <sz val="12"/>
      <color theme="1"/>
      <name val="Aptos Narrow"/>
      <family val="2"/>
    </font>
    <font>
      <sz val="12"/>
      <color theme="1"/>
      <name val="Times New Roman"/>
      <family val="2"/>
      <charset val="204"/>
    </font>
    <font>
      <vertAlign val="subscript"/>
      <sz val="7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2" borderId="0" xfId="0" applyFill="1"/>
    <xf numFmtId="0" fontId="1" fillId="2" borderId="0" xfId="0" applyFont="1" applyFill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экспериментальные точки(опыт 5)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Лист1!$X$39:$X$45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1E-3</c:v>
                </c:pt>
                <c:pt idx="2">
                  <c:v>0.115</c:v>
                </c:pt>
                <c:pt idx="3">
                  <c:v>0.20100000000000001</c:v>
                </c:pt>
                <c:pt idx="4">
                  <c:v>0.32900000000000001</c:v>
                </c:pt>
                <c:pt idx="5">
                  <c:v>0.47599999999999998</c:v>
                </c:pt>
                <c:pt idx="6">
                  <c:v>0.74299999999999999</c:v>
                </c:pt>
              </c:numCache>
            </c:numRef>
          </c:xVal>
          <c:yVal>
            <c:numRef>
              <c:f>Лист1!$Y$39:$Y$45</c:f>
              <c:numCache>
                <c:formatCode>General</c:formatCode>
                <c:ptCount val="7"/>
                <c:pt idx="0">
                  <c:v>1.7669000000000001E-2</c:v>
                </c:pt>
                <c:pt idx="1">
                  <c:v>2.6512999999999998E-2</c:v>
                </c:pt>
                <c:pt idx="2">
                  <c:v>3.3966999999999997E-2</c:v>
                </c:pt>
                <c:pt idx="3">
                  <c:v>4.2325000000000002E-2</c:v>
                </c:pt>
                <c:pt idx="4">
                  <c:v>4.9355000000000003E-2</c:v>
                </c:pt>
                <c:pt idx="5">
                  <c:v>5.6995999999999998E-2</c:v>
                </c:pt>
                <c:pt idx="6">
                  <c:v>6.3630000000000006E-2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0-4A8D-AEAE-985ADAE2DFD3}"/>
            </c:ext>
          </c:extLst>
        </c:ser>
        <c:ser>
          <c:idx val="1"/>
          <c:order val="1"/>
          <c:tx>
            <c:v>экспериментальные точки(опыт 6)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Лист1!$X$51:$X$57</c:f>
              <c:numCache>
                <c:formatCode>General</c:formatCode>
                <c:ptCount val="7"/>
                <c:pt idx="0">
                  <c:v>0</c:v>
                </c:pt>
                <c:pt idx="1">
                  <c:v>2E-3</c:v>
                </c:pt>
                <c:pt idx="2">
                  <c:v>0.01</c:v>
                </c:pt>
                <c:pt idx="3">
                  <c:v>2.7E-2</c:v>
                </c:pt>
                <c:pt idx="4">
                  <c:v>3.7999999999999999E-2</c:v>
                </c:pt>
                <c:pt idx="5">
                  <c:v>8.6999999999999994E-2</c:v>
                </c:pt>
                <c:pt idx="6">
                  <c:v>0.114</c:v>
                </c:pt>
              </c:numCache>
            </c:numRef>
          </c:xVal>
          <c:yVal>
            <c:numRef>
              <c:f>Лист1!$Y$51:$Y$57</c:f>
              <c:numCache>
                <c:formatCode>General</c:formatCode>
                <c:ptCount val="7"/>
                <c:pt idx="0">
                  <c:v>1.7676000000000001E-2</c:v>
                </c:pt>
                <c:pt idx="1">
                  <c:v>2.6509000000000001E-2</c:v>
                </c:pt>
                <c:pt idx="2">
                  <c:v>3.4335999999999998E-2</c:v>
                </c:pt>
                <c:pt idx="3">
                  <c:v>4.3090999999999997E-2</c:v>
                </c:pt>
                <c:pt idx="4">
                  <c:v>5.0866000000000001E-2</c:v>
                </c:pt>
                <c:pt idx="5">
                  <c:v>5.9374000000000003E-2</c:v>
                </c:pt>
                <c:pt idx="6">
                  <c:v>6.6974000000000006E-2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B0-4A8D-AEAE-985ADAE2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75928"/>
        <c:axId val="549077728"/>
      </c:scatterChart>
      <c:scatterChart>
        <c:scatterStyle val="lineMarker"/>
        <c:varyColors val="0"/>
        <c:ser>
          <c:idx val="2"/>
          <c:order val="2"/>
          <c:tx>
            <c:v>линейная апросикмация опыт 5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Лист1!$AA$39:$AA$45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1E-3</c:v>
                </c:pt>
                <c:pt idx="2">
                  <c:v>0.115</c:v>
                </c:pt>
                <c:pt idx="3">
                  <c:v>0.20100000000000001</c:v>
                </c:pt>
                <c:pt idx="4">
                  <c:v>0.32900000000000001</c:v>
                </c:pt>
                <c:pt idx="5">
                  <c:v>0.47599999999999998</c:v>
                </c:pt>
                <c:pt idx="6">
                  <c:v>0.74299999999999999</c:v>
                </c:pt>
              </c:numCache>
            </c:numRef>
          </c:xVal>
          <c:yVal>
            <c:numRef>
              <c:f>Лист1!$AB$39:$AB$45</c:f>
              <c:numCache>
                <c:formatCode>General</c:formatCode>
                <c:ptCount val="7"/>
                <c:pt idx="0">
                  <c:v>2.6397431455714836E-2</c:v>
                </c:pt>
                <c:pt idx="1">
                  <c:v>2.6226793269730136E-2</c:v>
                </c:pt>
                <c:pt idx="2">
                  <c:v>3.271104433714879E-2</c:v>
                </c:pt>
                <c:pt idx="3">
                  <c:v>3.7602672335376897E-2</c:v>
                </c:pt>
                <c:pt idx="4">
                  <c:v>4.4883234937390819E-2</c:v>
                </c:pt>
                <c:pt idx="5">
                  <c:v>5.3244506050641183E-2</c:v>
                </c:pt>
                <c:pt idx="6">
                  <c:v>6.8431304603279619E-2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B0-4A8D-AEAE-985ADAE2DFD3}"/>
            </c:ext>
          </c:extLst>
        </c:ser>
        <c:ser>
          <c:idx val="3"/>
          <c:order val="3"/>
          <c:tx>
            <c:v>линейная апросикмация опыт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Лист1!$AB$51:$AB$57</c:f>
              <c:numCache>
                <c:formatCode>General</c:formatCode>
                <c:ptCount val="7"/>
                <c:pt idx="0">
                  <c:v>0</c:v>
                </c:pt>
                <c:pt idx="1">
                  <c:v>2E-3</c:v>
                </c:pt>
                <c:pt idx="2">
                  <c:v>0.01</c:v>
                </c:pt>
                <c:pt idx="3">
                  <c:v>2.7E-2</c:v>
                </c:pt>
                <c:pt idx="4">
                  <c:v>3.7999999999999999E-2</c:v>
                </c:pt>
                <c:pt idx="5">
                  <c:v>8.6999999999999994E-2</c:v>
                </c:pt>
                <c:pt idx="6">
                  <c:v>0.114</c:v>
                </c:pt>
              </c:numCache>
            </c:numRef>
          </c:xVal>
          <c:yVal>
            <c:numRef>
              <c:f>Лист1!$AC$51:$AC$57</c:f>
              <c:numCache>
                <c:formatCode>General</c:formatCode>
                <c:ptCount val="7"/>
                <c:pt idx="0">
                  <c:v>2.7833618184727495E-2</c:v>
                </c:pt>
                <c:pt idx="1">
                  <c:v>2.8585298231971267E-2</c:v>
                </c:pt>
                <c:pt idx="2">
                  <c:v>3.1592018420946354E-2</c:v>
                </c:pt>
                <c:pt idx="3">
                  <c:v>3.7981298822518411E-2</c:v>
                </c:pt>
                <c:pt idx="4">
                  <c:v>4.2115539082359155E-2</c:v>
                </c:pt>
                <c:pt idx="5">
                  <c:v>6.0531700239831551E-2</c:v>
                </c:pt>
                <c:pt idx="6">
                  <c:v>7.0679380877622461E-2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B0-4A8D-AEAE-985ADAE2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783856"/>
        <c:axId val="637781336"/>
      </c:scatterChart>
      <c:valAx>
        <c:axId val="54907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9077728"/>
        <c:crosses val="autoZero"/>
        <c:crossBetween val="midCat"/>
      </c:valAx>
      <c:valAx>
        <c:axId val="5490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9075928"/>
        <c:crosses val="autoZero"/>
        <c:crossBetween val="midCat"/>
      </c:valAx>
      <c:valAx>
        <c:axId val="6377813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37783856"/>
        <c:crosses val="max"/>
        <c:crossBetween val="midCat"/>
      </c:valAx>
      <c:valAx>
        <c:axId val="637783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37781336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Лист1!$X$39:$X$45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1E-3</c:v>
                </c:pt>
                <c:pt idx="2">
                  <c:v>0.115</c:v>
                </c:pt>
                <c:pt idx="3">
                  <c:v>0.20100000000000001</c:v>
                </c:pt>
                <c:pt idx="4">
                  <c:v>0.32900000000000001</c:v>
                </c:pt>
                <c:pt idx="5">
                  <c:v>0.47599999999999998</c:v>
                </c:pt>
                <c:pt idx="6">
                  <c:v>0.74299999999999999</c:v>
                </c:pt>
              </c:numCache>
            </c:numRef>
          </c:xVal>
          <c:yVal>
            <c:numRef>
              <c:f>Лист1!$Y$39:$Y$45</c:f>
              <c:numCache>
                <c:formatCode>General</c:formatCode>
                <c:ptCount val="7"/>
                <c:pt idx="0">
                  <c:v>1.7669000000000001E-2</c:v>
                </c:pt>
                <c:pt idx="1">
                  <c:v>2.6512999999999998E-2</c:v>
                </c:pt>
                <c:pt idx="2">
                  <c:v>3.3966999999999997E-2</c:v>
                </c:pt>
                <c:pt idx="3">
                  <c:v>4.2325000000000002E-2</c:v>
                </c:pt>
                <c:pt idx="4">
                  <c:v>4.9355000000000003E-2</c:v>
                </c:pt>
                <c:pt idx="5">
                  <c:v>5.6995999999999998E-2</c:v>
                </c:pt>
                <c:pt idx="6">
                  <c:v>6.3630000000000006E-2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F-4AAF-BB7A-46D86938EE8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Лист1!$AA$39:$AA$45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1E-3</c:v>
                </c:pt>
                <c:pt idx="2">
                  <c:v>0.115</c:v>
                </c:pt>
                <c:pt idx="3">
                  <c:v>0.20100000000000001</c:v>
                </c:pt>
                <c:pt idx="4">
                  <c:v>0.32900000000000001</c:v>
                </c:pt>
                <c:pt idx="5">
                  <c:v>0.47599999999999998</c:v>
                </c:pt>
                <c:pt idx="6">
                  <c:v>0.74299999999999999</c:v>
                </c:pt>
              </c:numCache>
            </c:numRef>
          </c:xVal>
          <c:yVal>
            <c:numRef>
              <c:f>Лист1!$AB$39:$AB$45</c:f>
              <c:numCache>
                <c:formatCode>General</c:formatCode>
                <c:ptCount val="7"/>
                <c:pt idx="0">
                  <c:v>2.6397431455714836E-2</c:v>
                </c:pt>
                <c:pt idx="1">
                  <c:v>2.6226793269730136E-2</c:v>
                </c:pt>
                <c:pt idx="2">
                  <c:v>3.271104433714879E-2</c:v>
                </c:pt>
                <c:pt idx="3">
                  <c:v>3.7602672335376897E-2</c:v>
                </c:pt>
                <c:pt idx="4">
                  <c:v>4.4883234937390819E-2</c:v>
                </c:pt>
                <c:pt idx="5">
                  <c:v>5.3244506050641183E-2</c:v>
                </c:pt>
                <c:pt idx="6">
                  <c:v>6.8431304603279619E-2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F-4AAF-BB7A-46D86938EE8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Лист1!$X$51:$X$57</c:f>
              <c:numCache>
                <c:formatCode>General</c:formatCode>
                <c:ptCount val="7"/>
                <c:pt idx="0">
                  <c:v>0</c:v>
                </c:pt>
                <c:pt idx="1">
                  <c:v>2E-3</c:v>
                </c:pt>
                <c:pt idx="2">
                  <c:v>0.01</c:v>
                </c:pt>
                <c:pt idx="3">
                  <c:v>2.7E-2</c:v>
                </c:pt>
                <c:pt idx="4">
                  <c:v>3.7999999999999999E-2</c:v>
                </c:pt>
                <c:pt idx="5">
                  <c:v>8.6999999999999994E-2</c:v>
                </c:pt>
                <c:pt idx="6">
                  <c:v>0.114</c:v>
                </c:pt>
              </c:numCache>
            </c:numRef>
          </c:xVal>
          <c:yVal>
            <c:numRef>
              <c:f>Лист1!$Y$51:$Y$57</c:f>
              <c:numCache>
                <c:formatCode>General</c:formatCode>
                <c:ptCount val="7"/>
                <c:pt idx="0">
                  <c:v>1.7676000000000001E-2</c:v>
                </c:pt>
                <c:pt idx="1">
                  <c:v>2.6509000000000001E-2</c:v>
                </c:pt>
                <c:pt idx="2">
                  <c:v>3.4335999999999998E-2</c:v>
                </c:pt>
                <c:pt idx="3">
                  <c:v>4.3090999999999997E-2</c:v>
                </c:pt>
                <c:pt idx="4">
                  <c:v>5.0866000000000001E-2</c:v>
                </c:pt>
                <c:pt idx="5">
                  <c:v>5.9374000000000003E-2</c:v>
                </c:pt>
                <c:pt idx="6">
                  <c:v>6.6974000000000006E-2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3F-4AAF-BB7A-46D86938EE8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Лист1!$AB$51:$AB$57</c:f>
              <c:numCache>
                <c:formatCode>General</c:formatCode>
                <c:ptCount val="7"/>
                <c:pt idx="0">
                  <c:v>0</c:v>
                </c:pt>
                <c:pt idx="1">
                  <c:v>2E-3</c:v>
                </c:pt>
                <c:pt idx="2">
                  <c:v>0.01</c:v>
                </c:pt>
                <c:pt idx="3">
                  <c:v>2.7E-2</c:v>
                </c:pt>
                <c:pt idx="4">
                  <c:v>3.7999999999999999E-2</c:v>
                </c:pt>
                <c:pt idx="5">
                  <c:v>8.6999999999999994E-2</c:v>
                </c:pt>
                <c:pt idx="6">
                  <c:v>0.114</c:v>
                </c:pt>
              </c:numCache>
            </c:numRef>
          </c:xVal>
          <c:yVal>
            <c:numRef>
              <c:f>Лист1!$AC$51:$AC$57</c:f>
              <c:numCache>
                <c:formatCode>General</c:formatCode>
                <c:ptCount val="7"/>
                <c:pt idx="0">
                  <c:v>2.7833618184727495E-2</c:v>
                </c:pt>
                <c:pt idx="1">
                  <c:v>2.8585298231971267E-2</c:v>
                </c:pt>
                <c:pt idx="2">
                  <c:v>3.1592018420946354E-2</c:v>
                </c:pt>
                <c:pt idx="3">
                  <c:v>3.7981298822518411E-2</c:v>
                </c:pt>
                <c:pt idx="4">
                  <c:v>4.2115539082359155E-2</c:v>
                </c:pt>
                <c:pt idx="5">
                  <c:v>6.0531700239831551E-2</c:v>
                </c:pt>
                <c:pt idx="6">
                  <c:v>7.0679380877622461E-2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3F-4AAF-BB7A-46D86938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256512"/>
        <c:axId val="1205259872"/>
      </c:scatterChart>
      <c:valAx>
        <c:axId val="12052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5259872"/>
        <c:crosses val="autoZero"/>
        <c:crossBetween val="midCat"/>
      </c:valAx>
      <c:valAx>
        <c:axId val="12052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52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1266825</xdr:colOff>
      <xdr:row>35</xdr:row>
      <xdr:rowOff>147637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0DC199-1DA7-BEB8-6D12-0FD774F51AFF}"/>
            </a:ext>
          </a:extLst>
        </xdr:cNvPr>
        <xdr:cNvSpPr txBox="1"/>
      </xdr:nvSpPr>
      <xdr:spPr>
        <a:xfrm>
          <a:off x="11639550" y="8205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1266825</xdr:colOff>
      <xdr:row>46</xdr:row>
      <xdr:rowOff>147637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CF71BA-E47A-4620-9FAD-4CEFE68B5B6A}"/>
            </a:ext>
          </a:extLst>
        </xdr:cNvPr>
        <xdr:cNvSpPr txBox="1"/>
      </xdr:nvSpPr>
      <xdr:spPr>
        <a:xfrm>
          <a:off x="11639550" y="8205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34</xdr:col>
      <xdr:colOff>4616</xdr:colOff>
      <xdr:row>36</xdr:row>
      <xdr:rowOff>13990</xdr:rowOff>
    </xdr:from>
    <xdr:to>
      <xdr:col>52</xdr:col>
      <xdr:colOff>365814</xdr:colOff>
      <xdr:row>54</xdr:row>
      <xdr:rowOff>310598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4EAE108-8877-DF93-28F2-FA15B5CD7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500563</xdr:colOff>
      <xdr:row>57</xdr:row>
      <xdr:rowOff>88732</xdr:rowOff>
    </xdr:from>
    <xdr:to>
      <xdr:col>44</xdr:col>
      <xdr:colOff>85725</xdr:colOff>
      <xdr:row>75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05AC8B-699B-F2F2-2369-FF17E6078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0257-E7CC-42A2-9F8B-95C999C35B55}">
  <dimension ref="A1:AC57"/>
  <sheetViews>
    <sheetView tabSelected="1" topLeftCell="A29" zoomScale="85" zoomScaleNormal="85" workbookViewId="0">
      <selection activeCell="AC71" sqref="AC71"/>
    </sheetView>
  </sheetViews>
  <sheetFormatPr defaultColWidth="9.140625" defaultRowHeight="15.75" x14ac:dyDescent="0.25"/>
  <cols>
    <col min="1" max="1" width="9.140625" style="5"/>
    <col min="2" max="2" width="21.5703125" style="5" customWidth="1"/>
    <col min="3" max="6" width="9.140625" style="5"/>
    <col min="7" max="7" width="15.140625" style="5" customWidth="1"/>
    <col min="8" max="8" width="12.5703125" style="5" customWidth="1"/>
    <col min="9" max="9" width="13.28515625" style="5" customWidth="1"/>
    <col min="10" max="10" width="9.140625" style="5"/>
    <col min="11" max="11" width="13" style="5" customWidth="1"/>
    <col min="12" max="12" width="12.85546875" style="5" customWidth="1"/>
    <col min="13" max="13" width="12.28515625" style="5" customWidth="1"/>
    <col min="14" max="14" width="20.85546875" customWidth="1"/>
    <col min="15" max="15" width="16.85546875" customWidth="1"/>
    <col min="16" max="16" width="11.140625" style="5" customWidth="1"/>
    <col min="17" max="17" width="10.140625" style="5" customWidth="1"/>
    <col min="18" max="18" width="13.42578125" style="5" bestFit="1" customWidth="1"/>
    <col min="19" max="20" width="9.28515625" style="5" bestFit="1" customWidth="1"/>
    <col min="21" max="22" width="9.140625" style="5"/>
    <col min="23" max="24" width="9.28515625" style="5" bestFit="1" customWidth="1"/>
    <col min="25" max="16384" width="9.140625" style="5"/>
  </cols>
  <sheetData>
    <row r="1" spans="1:17" ht="32.25" thickBot="1" x14ac:dyDescent="0.3">
      <c r="A1" s="1" t="s">
        <v>0</v>
      </c>
      <c r="B1" s="2" t="s">
        <v>53</v>
      </c>
      <c r="C1" s="2" t="s">
        <v>54</v>
      </c>
      <c r="D1" s="2" t="s">
        <v>1</v>
      </c>
      <c r="E1" s="2" t="s">
        <v>2</v>
      </c>
      <c r="F1" s="2" t="s">
        <v>3</v>
      </c>
      <c r="G1" s="7" t="s">
        <v>4</v>
      </c>
      <c r="H1" s="6" t="s">
        <v>5</v>
      </c>
      <c r="I1" s="6" t="s">
        <v>6</v>
      </c>
      <c r="J1" s="7" t="s">
        <v>7</v>
      </c>
      <c r="K1" s="7" t="s">
        <v>8</v>
      </c>
      <c r="L1" s="5" t="s">
        <v>9</v>
      </c>
      <c r="M1" s="5" t="s">
        <v>10</v>
      </c>
      <c r="N1" t="s">
        <v>14</v>
      </c>
      <c r="O1" t="s">
        <v>15</v>
      </c>
      <c r="P1" s="5" t="s">
        <v>12</v>
      </c>
      <c r="Q1" s="5" t="s">
        <v>11</v>
      </c>
    </row>
    <row r="2" spans="1:17" ht="16.5" thickBot="1" x14ac:dyDescent="0.3">
      <c r="A2" s="3">
        <v>1</v>
      </c>
      <c r="B2" s="14">
        <f>49.88/1000</f>
        <v>4.9880000000000001E-2</v>
      </c>
      <c r="C2" s="14">
        <f>49.38/1000</f>
        <v>4.938E-2</v>
      </c>
      <c r="D2" s="4">
        <v>0.52</v>
      </c>
      <c r="E2" s="4">
        <v>0</v>
      </c>
      <c r="F2" s="4">
        <v>0.51</v>
      </c>
      <c r="G2" s="5">
        <f>$B$2*D2</f>
        <v>2.5937600000000002E-2</v>
      </c>
      <c r="H2" s="5">
        <f>$B$2*E2</f>
        <v>0</v>
      </c>
      <c r="I2" s="5">
        <f>$C$2*F2</f>
        <v>2.5183799999999999E-2</v>
      </c>
      <c r="J2" s="5">
        <f>(H2+I2)/G2 - 1</f>
        <v>-2.9062056628215482E-2</v>
      </c>
      <c r="K2" s="5">
        <f>($B$2*E2^2+$C$2*F2^2)/($B$2*D2^2) - 1</f>
        <v>-4.7733940154595977E-2</v>
      </c>
      <c r="L2" s="5">
        <f>AVERAGE(J2:J6)</f>
        <v>-1.8711318467304005E-3</v>
      </c>
      <c r="M2" s="5">
        <f>AVERAGE(K2:K6)</f>
        <v>6.7542730546282567E-3</v>
      </c>
      <c r="N2">
        <f>(J2-$L$2)^2</f>
        <v>7.3934639047237957E-4</v>
      </c>
      <c r="O2">
        <f>(K2 - $M$2)^2</f>
        <v>2.9689653787338785E-3</v>
      </c>
      <c r="P2" s="5">
        <f>A8*SQRT(SUM(N2:N6)/20)</f>
        <v>2.7744030582682998E-2</v>
      </c>
      <c r="Q2" s="5">
        <f>A8*SQRT(SUM(O2:O6)/20)</f>
        <v>5.6110253689129641E-2</v>
      </c>
    </row>
    <row r="3" spans="1:17" ht="16.5" thickBot="1" x14ac:dyDescent="0.3">
      <c r="A3" s="3">
        <v>2</v>
      </c>
      <c r="B3" s="15"/>
      <c r="C3" s="15"/>
      <c r="D3" s="4">
        <v>0.52</v>
      </c>
      <c r="E3" s="4">
        <v>0</v>
      </c>
      <c r="F3" s="4">
        <v>0.52</v>
      </c>
      <c r="G3" s="5">
        <f t="shared" ref="G3:G6" si="0">$B$2*D3</f>
        <v>2.5937600000000002E-2</v>
      </c>
      <c r="H3" s="5">
        <f t="shared" ref="H3:H6" si="1">$B$2*E3</f>
        <v>0</v>
      </c>
      <c r="I3" s="5">
        <f t="shared" ref="I3:I6" si="2">$C$2*F3</f>
        <v>2.5677600000000002E-2</v>
      </c>
      <c r="J3" s="5">
        <f t="shared" ref="J3:J6" si="3">(H3+I3)/G3 - 1</f>
        <v>-1.0024057738572512E-2</v>
      </c>
      <c r="K3" s="5">
        <f t="shared" ref="K3:K6" si="4">($B$2*E3^2+$C$2*F3^2)/($B$2*D3^2) - 1</f>
        <v>-1.0024057738572623E-2</v>
      </c>
      <c r="N3">
        <f t="shared" ref="N3:N6" si="5">(J3-$L$2)^2</f>
        <v>6.6470200597869471E-5</v>
      </c>
      <c r="O3">
        <f t="shared" ref="O3:O6" si="6">(K3 - $M$2)^2</f>
        <v>2.8151238420607292E-4</v>
      </c>
    </row>
    <row r="4" spans="1:17" ht="16.5" thickBot="1" x14ac:dyDescent="0.3">
      <c r="A4" s="3">
        <v>3</v>
      </c>
      <c r="B4" s="15"/>
      <c r="C4" s="15"/>
      <c r="D4" s="4">
        <v>0.52</v>
      </c>
      <c r="E4" s="4">
        <v>0</v>
      </c>
      <c r="F4" s="4">
        <v>0.52</v>
      </c>
      <c r="G4" s="5">
        <f t="shared" si="0"/>
        <v>2.5937600000000002E-2</v>
      </c>
      <c r="H4" s="5">
        <f t="shared" si="1"/>
        <v>0</v>
      </c>
      <c r="I4" s="5">
        <f t="shared" si="2"/>
        <v>2.5677600000000002E-2</v>
      </c>
      <c r="J4" s="5">
        <f t="shared" si="3"/>
        <v>-1.0024057738572512E-2</v>
      </c>
      <c r="K4" s="5">
        <f t="shared" si="4"/>
        <v>-1.0024057738572623E-2</v>
      </c>
      <c r="N4">
        <f t="shared" si="5"/>
        <v>6.6470200597869471E-5</v>
      </c>
      <c r="O4">
        <f t="shared" si="6"/>
        <v>2.8151238420607292E-4</v>
      </c>
    </row>
    <row r="5" spans="1:17" ht="16.5" thickBot="1" x14ac:dyDescent="0.3">
      <c r="A5" s="3">
        <v>4</v>
      </c>
      <c r="B5" s="15"/>
      <c r="C5" s="15"/>
      <c r="D5" s="4">
        <v>0.5</v>
      </c>
      <c r="E5" s="4">
        <v>0</v>
      </c>
      <c r="F5" s="4">
        <v>0.52</v>
      </c>
      <c r="G5" s="5">
        <f t="shared" si="0"/>
        <v>2.494E-2</v>
      </c>
      <c r="H5" s="5">
        <f t="shared" si="1"/>
        <v>0</v>
      </c>
      <c r="I5" s="5">
        <f t="shared" si="2"/>
        <v>2.5677600000000002E-2</v>
      </c>
      <c r="J5" s="5">
        <f t="shared" si="3"/>
        <v>2.9574979951884517E-2</v>
      </c>
      <c r="K5" s="5">
        <f t="shared" si="4"/>
        <v>7.075797914995996E-2</v>
      </c>
      <c r="N5">
        <f t="shared" si="5"/>
        <v>9.8885794725098826E-4</v>
      </c>
      <c r="O5">
        <f t="shared" si="6"/>
        <v>4.0964743939376014E-3</v>
      </c>
    </row>
    <row r="6" spans="1:17" ht="16.5" thickBot="1" x14ac:dyDescent="0.3">
      <c r="A6" s="3">
        <v>5</v>
      </c>
      <c r="B6" s="16"/>
      <c r="C6" s="16"/>
      <c r="D6" s="4">
        <v>0.49</v>
      </c>
      <c r="E6" s="4">
        <v>0</v>
      </c>
      <c r="F6" s="4">
        <v>0.5</v>
      </c>
      <c r="G6" s="5">
        <f t="shared" si="0"/>
        <v>2.44412E-2</v>
      </c>
      <c r="H6" s="5">
        <f t="shared" si="1"/>
        <v>0</v>
      </c>
      <c r="I6" s="5">
        <f t="shared" si="2"/>
        <v>2.469E-2</v>
      </c>
      <c r="J6" s="5">
        <f t="shared" si="3"/>
        <v>1.0179532919823986E-2</v>
      </c>
      <c r="K6" s="5">
        <f t="shared" si="4"/>
        <v>3.0795441754922548E-2</v>
      </c>
      <c r="N6">
        <f t="shared" si="5"/>
        <v>1.4521852131587531E-4</v>
      </c>
      <c r="O6">
        <f t="shared" si="6"/>
        <v>5.7797779247600986E-4</v>
      </c>
    </row>
    <row r="7" spans="1:17" x14ac:dyDescent="0.25">
      <c r="A7" s="5" t="s">
        <v>13</v>
      </c>
    </row>
    <row r="8" spans="1:17" x14ac:dyDescent="0.25">
      <c r="A8" s="5">
        <v>2.77</v>
      </c>
    </row>
    <row r="9" spans="1:17" ht="16.5" thickBot="1" x14ac:dyDescent="0.3"/>
    <row r="10" spans="1:17" ht="32.25" thickBot="1" x14ac:dyDescent="0.3">
      <c r="A10" s="1" t="s">
        <v>0</v>
      </c>
      <c r="B10" s="2" t="s">
        <v>53</v>
      </c>
      <c r="C10" s="2" t="s">
        <v>54</v>
      </c>
      <c r="D10" s="2" t="s">
        <v>1</v>
      </c>
      <c r="E10" s="2" t="s">
        <v>2</v>
      </c>
      <c r="F10" s="2" t="s">
        <v>3</v>
      </c>
      <c r="G10" s="7" t="s">
        <v>4</v>
      </c>
      <c r="H10" s="6" t="s">
        <v>5</v>
      </c>
      <c r="I10" s="6" t="s">
        <v>6</v>
      </c>
      <c r="J10" s="7" t="s">
        <v>7</v>
      </c>
      <c r="K10" s="7" t="s">
        <v>8</v>
      </c>
      <c r="L10" s="5" t="s">
        <v>9</v>
      </c>
      <c r="M10" s="5" t="s">
        <v>10</v>
      </c>
      <c r="N10" t="s">
        <v>14</v>
      </c>
      <c r="O10" t="s">
        <v>15</v>
      </c>
      <c r="P10" s="5" t="s">
        <v>12</v>
      </c>
      <c r="Q10" s="5" t="s">
        <v>11</v>
      </c>
    </row>
    <row r="11" spans="1:17" ht="16.5" thickBot="1" x14ac:dyDescent="0.3">
      <c r="A11" s="3">
        <v>1</v>
      </c>
      <c r="B11" s="14">
        <f>49.88/1000</f>
        <v>4.9880000000000001E-2</v>
      </c>
      <c r="C11" s="14">
        <f>98.24/1000</f>
        <v>9.8239999999999994E-2</v>
      </c>
      <c r="D11" s="4">
        <v>0.52</v>
      </c>
      <c r="E11" s="4">
        <v>-0.11</v>
      </c>
      <c r="F11" s="4">
        <v>0.28000000000000003</v>
      </c>
      <c r="G11" s="5">
        <f>$B$11*D11</f>
        <v>2.5937600000000002E-2</v>
      </c>
      <c r="H11" s="5">
        <f>$B$11*E11</f>
        <v>-5.4868E-3</v>
      </c>
      <c r="I11" s="5">
        <f>$C$11*F11</f>
        <v>2.7507200000000002E-2</v>
      </c>
      <c r="J11" s="5">
        <f>(H11+I11)/G11-1</f>
        <v>-0.1510239960520634</v>
      </c>
      <c r="K11" s="5">
        <f>($B$11*E11^2+$C$11*F11)/($B$11*D11) - 1</f>
        <v>8.378369625562887E-2</v>
      </c>
      <c r="L11" s="5">
        <f>AVERAGE(J11:J15)</f>
        <v>-0.30336865509078825</v>
      </c>
      <c r="M11" s="5">
        <f>AVERAGE(K11:K15)</f>
        <v>-4.3045921343054537E-2</v>
      </c>
      <c r="N11">
        <f>(J11-$L$11)^2</f>
        <v>2.3208895137625328E-2</v>
      </c>
      <c r="O11">
        <f>(K11-$M$11)^2</f>
        <v>1.6085751900228266E-2</v>
      </c>
      <c r="P11" s="5">
        <f>A8*SQRT(SUM(N11:N15)/20)</f>
        <v>0.3312786505617708</v>
      </c>
      <c r="Q11" s="5">
        <f>A8*SQRT(SUM(O11:O15)/20)</f>
        <v>0.32372000132375828</v>
      </c>
    </row>
    <row r="12" spans="1:17" ht="16.5" thickBot="1" x14ac:dyDescent="0.3">
      <c r="A12" s="3">
        <v>2</v>
      </c>
      <c r="B12" s="15"/>
      <c r="C12" s="15"/>
      <c r="D12" s="4">
        <v>0.48</v>
      </c>
      <c r="E12" s="4">
        <v>-0.13</v>
      </c>
      <c r="F12" s="4">
        <v>0.26</v>
      </c>
      <c r="G12" s="5">
        <f t="shared" ref="G12:G15" si="7">$B$11*D12</f>
        <v>2.3942399999999999E-2</v>
      </c>
      <c r="H12" s="5">
        <f t="shared" ref="H12:H15" si="8">$B$11*E12</f>
        <v>-6.4844000000000004E-3</v>
      </c>
      <c r="I12" s="5">
        <f t="shared" ref="I12:I15" si="9">$C$11*F12</f>
        <v>2.55424E-2</v>
      </c>
      <c r="J12" s="5">
        <f t="shared" ref="J12:J15" si="10">(H12+I12)/G12-1</f>
        <v>-0.20400628174284952</v>
      </c>
      <c r="K12" s="5">
        <f t="shared" ref="K12:K15" si="11">($B$11*E12^2+$C$11*F12)/($B$11*D12) - 1</f>
        <v>0.10203538492381714</v>
      </c>
      <c r="N12">
        <f t="shared" ref="N12:N15" si="12">(J12-$L$11)^2</f>
        <v>9.8728812373351672E-3</v>
      </c>
      <c r="O12">
        <f t="shared" ref="O12:O15" si="13">(K12-$M$11)^2</f>
        <v>2.1048585428101819E-2</v>
      </c>
    </row>
    <row r="13" spans="1:17" ht="16.5" thickBot="1" x14ac:dyDescent="0.3">
      <c r="A13" s="3">
        <v>3</v>
      </c>
      <c r="B13" s="15"/>
      <c r="C13" s="15"/>
      <c r="D13" s="4">
        <v>0.55000000000000004</v>
      </c>
      <c r="E13" s="4">
        <v>-0.12</v>
      </c>
      <c r="F13" s="4">
        <v>0.31</v>
      </c>
      <c r="G13" s="5">
        <f t="shared" si="7"/>
        <v>2.7434000000000004E-2</v>
      </c>
      <c r="H13" s="5">
        <f t="shared" si="8"/>
        <v>-5.9855999999999998E-3</v>
      </c>
      <c r="I13" s="5">
        <f t="shared" si="9"/>
        <v>3.04544E-2</v>
      </c>
      <c r="J13" s="5">
        <f t="shared" si="10"/>
        <v>-0.10808485820514702</v>
      </c>
      <c r="K13" s="5">
        <f t="shared" si="11"/>
        <v>0.13627877815848932</v>
      </c>
      <c r="N13">
        <f t="shared" si="12"/>
        <v>3.8135761326072382E-2</v>
      </c>
      <c r="O13">
        <f t="shared" si="13"/>
        <v>3.2157347851319004E-2</v>
      </c>
    </row>
    <row r="14" spans="1:17" ht="16.5" thickBot="1" x14ac:dyDescent="0.3">
      <c r="A14" s="3">
        <v>4</v>
      </c>
      <c r="B14" s="15"/>
      <c r="C14" s="15"/>
      <c r="D14" s="4">
        <v>0.55000000000000004</v>
      </c>
      <c r="E14" s="4">
        <v>-0.12</v>
      </c>
      <c r="F14" s="4">
        <v>0.26</v>
      </c>
      <c r="G14" s="5">
        <f t="shared" si="7"/>
        <v>2.7434000000000004E-2</v>
      </c>
      <c r="H14" s="5">
        <f t="shared" si="8"/>
        <v>-5.9855999999999998E-3</v>
      </c>
      <c r="I14" s="5">
        <f t="shared" si="9"/>
        <v>2.55424E-2</v>
      </c>
      <c r="J14" s="5">
        <f t="shared" si="10"/>
        <v>-0.28713275497557789</v>
      </c>
      <c r="K14" s="5">
        <f t="shared" si="11"/>
        <v>-4.2769118611941548E-2</v>
      </c>
      <c r="N14">
        <f t="shared" si="12"/>
        <v>2.6360445255108799E-4</v>
      </c>
      <c r="O14">
        <f t="shared" si="13"/>
        <v>7.6619751951609796E-8</v>
      </c>
    </row>
    <row r="15" spans="1:17" ht="16.5" thickBot="1" x14ac:dyDescent="0.3">
      <c r="A15" s="3">
        <v>5</v>
      </c>
      <c r="B15" s="16"/>
      <c r="C15" s="16"/>
      <c r="D15" s="4">
        <v>0.54</v>
      </c>
      <c r="E15" s="4">
        <v>-0.13</v>
      </c>
      <c r="F15" s="4">
        <v>0.13</v>
      </c>
      <c r="G15" s="5">
        <f t="shared" si="7"/>
        <v>2.6935200000000003E-2</v>
      </c>
      <c r="H15" s="5">
        <f t="shared" si="8"/>
        <v>-6.4844000000000004E-3</v>
      </c>
      <c r="I15" s="5">
        <f t="shared" si="9"/>
        <v>1.27712E-2</v>
      </c>
      <c r="J15" s="5">
        <f t="shared" si="10"/>
        <v>-0.76659538447830355</v>
      </c>
      <c r="K15" s="5">
        <f t="shared" si="11"/>
        <v>-0.49455834744126648</v>
      </c>
      <c r="N15">
        <f t="shared" si="12"/>
        <v>0.21457900281905434</v>
      </c>
      <c r="O15">
        <f t="shared" si="13"/>
        <v>0.2038634709210933</v>
      </c>
    </row>
    <row r="18" spans="1:17" ht="16.5" thickBot="1" x14ac:dyDescent="0.3"/>
    <row r="19" spans="1:17" ht="32.25" thickBot="1" x14ac:dyDescent="0.3">
      <c r="A19" s="1" t="s">
        <v>0</v>
      </c>
      <c r="B19" s="2" t="s">
        <v>53</v>
      </c>
      <c r="C19" s="2" t="s">
        <v>54</v>
      </c>
      <c r="D19" s="2" t="s">
        <v>16</v>
      </c>
      <c r="E19" s="2" t="s">
        <v>17</v>
      </c>
      <c r="G19" s="5" t="s">
        <v>18</v>
      </c>
      <c r="H19" s="5" t="s">
        <v>19</v>
      </c>
      <c r="I19" s="5" t="s">
        <v>7</v>
      </c>
      <c r="J19" s="5" t="s">
        <v>20</v>
      </c>
      <c r="K19" s="5" t="s">
        <v>21</v>
      </c>
      <c r="L19" s="5" t="s">
        <v>9</v>
      </c>
      <c r="M19" s="5" t="s">
        <v>22</v>
      </c>
      <c r="N19" t="s">
        <v>14</v>
      </c>
      <c r="O19" t="s">
        <v>25</v>
      </c>
      <c r="P19" s="5" t="s">
        <v>12</v>
      </c>
      <c r="Q19" s="5" t="s">
        <v>23</v>
      </c>
    </row>
    <row r="20" spans="1:17" ht="16.5" thickBot="1" x14ac:dyDescent="0.3">
      <c r="A20" s="3">
        <v>1</v>
      </c>
      <c r="B20" s="14">
        <f>52.48/1000</f>
        <v>5.2479999999999999E-2</v>
      </c>
      <c r="C20" s="14">
        <f>52.09/1000</f>
        <v>5.2090000000000004E-2</v>
      </c>
      <c r="D20" s="4">
        <v>0.56000000000000005</v>
      </c>
      <c r="E20" s="4">
        <v>0.24</v>
      </c>
      <c r="G20" s="5">
        <f>$B$20*D20</f>
        <v>2.9388800000000003E-2</v>
      </c>
      <c r="H20" s="5">
        <f>($B$20+$C$20)*E20</f>
        <v>2.5096799999999999E-2</v>
      </c>
      <c r="I20" s="5">
        <f>H20/G20-1</f>
        <v>-0.14604202961672486</v>
      </c>
      <c r="J20" s="5">
        <f>($B$20+$C$20)*E20^2/($B$20*D20^2)-1</f>
        <v>-0.63401801269288205</v>
      </c>
      <c r="K20" s="5">
        <f>-C20/(B20+C20)</f>
        <v>-0.4981352204265086</v>
      </c>
      <c r="L20" s="5">
        <f>AVERAGE(I20:I24)</f>
        <v>-0.115784277279642</v>
      </c>
      <c r="M20" s="5">
        <f>AVERAGE(J20:J24)</f>
        <v>-0.6068067625150162</v>
      </c>
      <c r="N20">
        <f>(I20-$L$20)^2</f>
        <v>9.1553157649224329E-4</v>
      </c>
      <c r="O20">
        <f>(J20-$M$20)^2</f>
        <v>7.4045213624240446E-4</v>
      </c>
      <c r="P20" s="5">
        <f>A8*SQRT(SUM(N20:N24)/20)</f>
        <v>5.586640011427349E-2</v>
      </c>
      <c r="Q20" s="5">
        <f>A8*SQRT(SUM(O20:O24)/20)</f>
        <v>5.0108864652929512E-2</v>
      </c>
    </row>
    <row r="21" spans="1:17" ht="16.5" thickBot="1" x14ac:dyDescent="0.3">
      <c r="A21" s="3">
        <v>2</v>
      </c>
      <c r="B21" s="15"/>
      <c r="C21" s="15"/>
      <c r="D21" s="4">
        <v>0.46</v>
      </c>
      <c r="E21" s="4">
        <v>0.21</v>
      </c>
      <c r="G21" s="5">
        <f t="shared" ref="G21:G24" si="14">$B$20*D21</f>
        <v>2.41408E-2</v>
      </c>
      <c r="H21" s="5">
        <f t="shared" ref="H21:H24" si="15">($B$20+$C$20)*E21</f>
        <v>2.1959699999999999E-2</v>
      </c>
      <c r="I21" s="5">
        <f t="shared" ref="I21:I24" si="16">H21/G21-1</f>
        <v>-9.0349118504772119E-2</v>
      </c>
      <c r="J21" s="5">
        <f t="shared" ref="J21:J24" si="17">($B$20+$C$20)*E21^2/($B$20*D21^2)-1</f>
        <v>-0.58472459757826556</v>
      </c>
      <c r="N21">
        <f t="shared" ref="N21:N24" si="18">(I21-$L$20)^2</f>
        <v>6.4694730190284001E-4</v>
      </c>
      <c r="O21">
        <f t="shared" ref="O21:O24" si="19">(J21-$M$20)^2</f>
        <v>4.8762200829385925E-4</v>
      </c>
    </row>
    <row r="22" spans="1:17" ht="16.5" thickBot="1" x14ac:dyDescent="0.3">
      <c r="A22" s="3">
        <v>3</v>
      </c>
      <c r="B22" s="15"/>
      <c r="C22" s="15"/>
      <c r="D22" s="4">
        <v>0.48</v>
      </c>
      <c r="E22" s="4">
        <v>0.21</v>
      </c>
      <c r="G22" s="5">
        <f t="shared" si="14"/>
        <v>2.5190399999999998E-2</v>
      </c>
      <c r="H22" s="5">
        <f t="shared" si="15"/>
        <v>2.1959699999999999E-2</v>
      </c>
      <c r="I22" s="5">
        <f t="shared" si="16"/>
        <v>-0.12825123856707321</v>
      </c>
      <c r="J22" s="5">
        <f t="shared" si="17"/>
        <v>-0.61860991687309452</v>
      </c>
      <c r="N22">
        <f t="shared" si="18"/>
        <v>1.5542512374230861E-4</v>
      </c>
      <c r="O22">
        <f t="shared" si="19"/>
        <v>1.3931445280062341E-4</v>
      </c>
    </row>
    <row r="23" spans="1:17" ht="16.5" thickBot="1" x14ac:dyDescent="0.3">
      <c r="A23" s="3">
        <v>4</v>
      </c>
      <c r="B23" s="15"/>
      <c r="C23" s="15"/>
      <c r="D23" s="4">
        <v>0.5</v>
      </c>
      <c r="E23" s="4">
        <v>0.21</v>
      </c>
      <c r="G23" s="5">
        <f t="shared" si="14"/>
        <v>2.6239999999999999E-2</v>
      </c>
      <c r="H23" s="5">
        <f t="shared" si="15"/>
        <v>2.1959699999999999E-2</v>
      </c>
      <c r="I23" s="5">
        <f t="shared" si="16"/>
        <v>-0.16312118902439032</v>
      </c>
      <c r="J23" s="5">
        <f t="shared" si="17"/>
        <v>-0.64851089939024398</v>
      </c>
      <c r="N23">
        <f t="shared" si="18"/>
        <v>2.2407832135300921E-3</v>
      </c>
      <c r="O23">
        <f t="shared" si="19"/>
        <v>1.7392350325077337E-3</v>
      </c>
    </row>
    <row r="24" spans="1:17" ht="16.5" thickBot="1" x14ac:dyDescent="0.3">
      <c r="A24" s="3">
        <v>5</v>
      </c>
      <c r="B24" s="16"/>
      <c r="C24" s="16"/>
      <c r="D24" s="4">
        <v>0.42</v>
      </c>
      <c r="E24" s="4">
        <v>0.2</v>
      </c>
      <c r="G24" s="5">
        <f t="shared" si="14"/>
        <v>2.2041599999999998E-2</v>
      </c>
      <c r="H24" s="5">
        <f t="shared" si="15"/>
        <v>2.0914000000000002E-2</v>
      </c>
      <c r="I24" s="5">
        <f t="shared" si="16"/>
        <v>-5.1157810685249494E-2</v>
      </c>
      <c r="J24" s="5">
        <f t="shared" si="17"/>
        <v>-0.54817038604059509</v>
      </c>
      <c r="N24">
        <f t="shared" si="18"/>
        <v>4.1765801844761297E-3</v>
      </c>
      <c r="O24">
        <f t="shared" si="19"/>
        <v>3.4382246460500448E-3</v>
      </c>
    </row>
    <row r="27" spans="1:17" ht="16.5" thickBot="1" x14ac:dyDescent="0.3"/>
    <row r="28" spans="1:17" ht="32.25" thickBot="1" x14ac:dyDescent="0.3">
      <c r="A28" s="1" t="s">
        <v>0</v>
      </c>
      <c r="B28" s="2" t="s">
        <v>55</v>
      </c>
      <c r="C28" s="2" t="s">
        <v>56</v>
      </c>
      <c r="D28" s="2" t="s">
        <v>24</v>
      </c>
      <c r="E28" s="2" t="s">
        <v>17</v>
      </c>
      <c r="G28" s="5" t="s">
        <v>18</v>
      </c>
      <c r="H28" s="5" t="s">
        <v>19</v>
      </c>
      <c r="I28" s="5" t="s">
        <v>7</v>
      </c>
      <c r="J28" s="5" t="s">
        <v>20</v>
      </c>
      <c r="K28" s="5" t="s">
        <v>21</v>
      </c>
      <c r="L28" s="5" t="s">
        <v>9</v>
      </c>
      <c r="M28" s="5" t="s">
        <v>22</v>
      </c>
      <c r="N28" t="s">
        <v>14</v>
      </c>
      <c r="O28" t="s">
        <v>25</v>
      </c>
      <c r="P28" s="5" t="s">
        <v>12</v>
      </c>
      <c r="Q28" s="5" t="s">
        <v>23</v>
      </c>
    </row>
    <row r="29" spans="1:17" ht="16.5" thickBot="1" x14ac:dyDescent="0.3">
      <c r="A29" s="3">
        <v>1</v>
      </c>
      <c r="B29" s="14">
        <f>52.48/1000</f>
        <v>5.2479999999999999E-2</v>
      </c>
      <c r="C29" s="14">
        <f>100.94/1000</f>
        <v>0.10094</v>
      </c>
      <c r="D29" s="4">
        <v>0.55000000000000004</v>
      </c>
      <c r="E29" s="4">
        <v>0.15</v>
      </c>
      <c r="G29" s="5">
        <f>$B$29*D29</f>
        <v>2.8864000000000001E-2</v>
      </c>
      <c r="H29" s="5">
        <f>($B$29+$C$29)*E29</f>
        <v>2.3012999999999999E-2</v>
      </c>
      <c r="I29" s="5">
        <f>H29/G29-1</f>
        <v>-0.20270925720620847</v>
      </c>
      <c r="J29" s="5">
        <f>($B$29+$C$29)*E29^2/($B$29*D29^2)-1</f>
        <v>-0.78255707014714782</v>
      </c>
      <c r="K29" s="5">
        <f>-C29/(C29+B29)</f>
        <v>-0.65793247295007173</v>
      </c>
      <c r="L29" s="5">
        <f>AVERAGE(I29:I33)</f>
        <v>-0.19743367153794616</v>
      </c>
      <c r="M29" s="5">
        <f>AVERAGE(J29:J33)</f>
        <v>-0.77520051891274633</v>
      </c>
      <c r="N29">
        <f>(I29-$L$29)^2</f>
        <v>2.7831804143174641E-5</v>
      </c>
      <c r="O29">
        <f>(J29-$M$29)^2</f>
        <v>5.4118846064374043E-5</v>
      </c>
      <c r="P29" s="5">
        <f>A8*SQRT(SUM(N29:N33)/20)</f>
        <v>0.15831437172795049</v>
      </c>
      <c r="Q29" s="5">
        <f>A8*SQRT(SUM(O29:O33)/20)</f>
        <v>9.3169863467209652E-2</v>
      </c>
    </row>
    <row r="30" spans="1:17" ht="16.5" thickBot="1" x14ac:dyDescent="0.3">
      <c r="A30" s="3">
        <v>2</v>
      </c>
      <c r="B30" s="15"/>
      <c r="C30" s="15"/>
      <c r="D30" s="4">
        <v>0.41</v>
      </c>
      <c r="E30" s="4">
        <v>0.1</v>
      </c>
      <c r="G30" s="5">
        <f t="shared" ref="G30:G33" si="20">$B$29*D30</f>
        <v>2.1516799999999999E-2</v>
      </c>
      <c r="H30" s="5">
        <f t="shared" ref="H30:H33" si="21">($B$29+$C$29)*E30</f>
        <v>1.5342000000000001E-2</v>
      </c>
      <c r="I30" s="5">
        <f t="shared" ref="I30:I33" si="22">H30/G30-1</f>
        <v>-0.28697575847709689</v>
      </c>
      <c r="J30" s="5">
        <f t="shared" ref="J30:J33" si="23">($B$29+$C$29)*E30^2/($B$29*D30^2)-1</f>
        <v>-0.82609164840904792</v>
      </c>
      <c r="N30">
        <f t="shared" ref="N30:N33" si="24">(I30-$L$29)^2</f>
        <v>8.017785333418426E-3</v>
      </c>
      <c r="O30">
        <f t="shared" ref="O30:O33" si="25">(J30-$M$29)^2</f>
        <v>2.5899070614093379E-3</v>
      </c>
    </row>
    <row r="31" spans="1:17" ht="16.5" thickBot="1" x14ac:dyDescent="0.3">
      <c r="A31" s="3">
        <v>3</v>
      </c>
      <c r="B31" s="15"/>
      <c r="C31" s="15"/>
      <c r="D31" s="4">
        <v>0.55000000000000004</v>
      </c>
      <c r="E31" s="4">
        <v>0.13</v>
      </c>
      <c r="G31" s="5">
        <f t="shared" si="20"/>
        <v>2.8864000000000001E-2</v>
      </c>
      <c r="H31" s="5">
        <f t="shared" si="21"/>
        <v>1.99446E-2</v>
      </c>
      <c r="I31" s="5">
        <f t="shared" si="22"/>
        <v>-0.30901468957871403</v>
      </c>
      <c r="J31" s="5">
        <f t="shared" si="23"/>
        <v>-0.83667619935496873</v>
      </c>
      <c r="N31">
        <f t="shared" si="24"/>
        <v>1.2450323587014164E-2</v>
      </c>
      <c r="O31">
        <f t="shared" si="25"/>
        <v>3.7792592858342461E-3</v>
      </c>
    </row>
    <row r="32" spans="1:17" ht="16.5" thickBot="1" x14ac:dyDescent="0.3">
      <c r="A32" s="3">
        <v>4</v>
      </c>
      <c r="B32" s="15"/>
      <c r="C32" s="15"/>
      <c r="D32" s="4">
        <v>0.49</v>
      </c>
      <c r="E32" s="4">
        <v>0.17</v>
      </c>
      <c r="G32" s="5">
        <f t="shared" si="20"/>
        <v>2.5715200000000001E-2</v>
      </c>
      <c r="H32" s="5">
        <f t="shared" si="21"/>
        <v>2.6081400000000001E-2</v>
      </c>
      <c r="I32" s="5">
        <f t="shared" si="22"/>
        <v>1.4240604778496868E-2</v>
      </c>
      <c r="J32" s="5">
        <f t="shared" si="23"/>
        <v>-0.64812060650541947</v>
      </c>
      <c r="N32">
        <f t="shared" si="24"/>
        <v>4.4805999254089873E-2</v>
      </c>
      <c r="O32">
        <f t="shared" si="25"/>
        <v>1.6149304137453867E-2</v>
      </c>
    </row>
    <row r="33" spans="1:29" ht="16.5" thickBot="1" x14ac:dyDescent="0.3">
      <c r="A33" s="3">
        <v>5</v>
      </c>
      <c r="B33" s="16"/>
      <c r="C33" s="16"/>
      <c r="D33" s="4">
        <v>0.44</v>
      </c>
      <c r="E33" s="4">
        <v>0.12</v>
      </c>
      <c r="G33" s="5">
        <f t="shared" si="20"/>
        <v>2.3091199999999999E-2</v>
      </c>
      <c r="H33" s="5">
        <f t="shared" si="21"/>
        <v>1.84104E-2</v>
      </c>
      <c r="I33" s="5">
        <f t="shared" si="22"/>
        <v>-0.20270925720620836</v>
      </c>
      <c r="J33" s="5">
        <f t="shared" si="23"/>
        <v>-0.7825570701471477</v>
      </c>
      <c r="N33">
        <f t="shared" si="24"/>
        <v>2.7831804143173468E-5</v>
      </c>
      <c r="O33">
        <f t="shared" si="25"/>
        <v>5.411884606437241E-5</v>
      </c>
    </row>
    <row r="36" spans="1:29" ht="16.5" thickBot="1" x14ac:dyDescent="0.3"/>
    <row r="37" spans="1:29" ht="30" customHeight="1" thickBot="1" x14ac:dyDescent="0.3">
      <c r="A37" s="9" t="s">
        <v>0</v>
      </c>
      <c r="B37" s="10" t="s">
        <v>26</v>
      </c>
      <c r="C37" s="10" t="s">
        <v>57</v>
      </c>
      <c r="D37" s="10" t="s">
        <v>27</v>
      </c>
      <c r="E37" s="10" t="s">
        <v>28</v>
      </c>
      <c r="G37" s="5" t="s">
        <v>38</v>
      </c>
      <c r="H37" s="5" t="s">
        <v>39</v>
      </c>
      <c r="I37" s="5" t="s">
        <v>41</v>
      </c>
      <c r="J37" s="5" t="s">
        <v>42</v>
      </c>
      <c r="K37" s="5" t="s">
        <v>43</v>
      </c>
      <c r="L37" s="5" t="s">
        <v>44</v>
      </c>
      <c r="M37" s="5" t="s">
        <v>45</v>
      </c>
      <c r="N37" s="5" t="s">
        <v>46</v>
      </c>
      <c r="O37" s="5" t="s">
        <v>52</v>
      </c>
      <c r="P37" s="5" t="s">
        <v>47</v>
      </c>
      <c r="Q37" s="5" t="s">
        <v>48</v>
      </c>
      <c r="R37" s="5" t="s">
        <v>50</v>
      </c>
      <c r="S37" s="5" t="s">
        <v>49</v>
      </c>
      <c r="T37" s="8" t="s">
        <v>51</v>
      </c>
      <c r="W37" s="5">
        <v>5</v>
      </c>
      <c r="X37" s="5" t="s">
        <v>58</v>
      </c>
    </row>
    <row r="38" spans="1:29" ht="30" customHeight="1" thickBot="1" x14ac:dyDescent="0.3">
      <c r="A38" s="3">
        <v>1</v>
      </c>
      <c r="B38" s="11" t="s">
        <v>29</v>
      </c>
      <c r="C38" s="4">
        <f>1.8/1000</f>
        <v>1.8E-3</v>
      </c>
      <c r="D38" s="4">
        <v>0.3</v>
      </c>
      <c r="E38" s="4">
        <v>0.48</v>
      </c>
      <c r="G38" s="13">
        <f>(E38^2-D38)^2/(2*($B$46-$A$46))</f>
        <v>3.7262769230769223E-3</v>
      </c>
      <c r="H38" s="13">
        <f>C38*($C$46-G38)</f>
        <v>1.7669292701538462E-2</v>
      </c>
      <c r="I38" s="5">
        <f>AVERAGE(G38:G44)</f>
        <v>0.2668954417582417</v>
      </c>
      <c r="J38" s="5">
        <f>AVERAGE(H38:H44)</f>
        <v>4.1350765217472531E-2</v>
      </c>
      <c r="K38" s="5">
        <f>(G38-$I$38)</f>
        <v>-0.26316916483516478</v>
      </c>
      <c r="L38" s="5">
        <f>(H38-$J$38)</f>
        <v>-2.3681472515934068E-2</v>
      </c>
      <c r="M38" s="5">
        <f t="shared" ref="M38:M44" si="26">K38^2</f>
        <v>6.925800932003813E-2</v>
      </c>
      <c r="N38">
        <f>K38*L38</f>
        <v>6.232233344085277E-3</v>
      </c>
      <c r="O38" s="12">
        <f>SUM(N38:N44)/SUM(M38:M44)</f>
        <v>5.6879395328233794E-2</v>
      </c>
      <c r="P38" s="5">
        <f>J38-O38*I38</f>
        <v>2.6169913874401901E-2</v>
      </c>
      <c r="Q38" s="5">
        <f>SUM(M38:M44)</f>
        <v>0.44208594952362013</v>
      </c>
      <c r="R38" s="5">
        <f>(H38-($P$38+$O$38*G38))^2</f>
        <v>7.5908868182294955E-5</v>
      </c>
      <c r="S38" s="5">
        <f>SQRT(SUM(R38:R44)/(Q38*5))</f>
        <v>8.7144814311963057E-3</v>
      </c>
      <c r="T38" s="13">
        <f>D46*S38</f>
        <v>2.1350479506430951E-2</v>
      </c>
      <c r="X38" s="5" t="s">
        <v>60</v>
      </c>
      <c r="Y38" s="5" t="s">
        <v>61</v>
      </c>
      <c r="AA38" s="5" t="s">
        <v>60</v>
      </c>
      <c r="AB38" s="5" t="s">
        <v>62</v>
      </c>
      <c r="AC38" s="5" t="s">
        <v>63</v>
      </c>
    </row>
    <row r="39" spans="1:29" ht="30" customHeight="1" thickBot="1" x14ac:dyDescent="0.3">
      <c r="A39" s="3">
        <v>2</v>
      </c>
      <c r="B39" s="11" t="s">
        <v>30</v>
      </c>
      <c r="C39" s="4">
        <f>2.7/1000</f>
        <v>2.7000000000000001E-3</v>
      </c>
      <c r="D39" s="4">
        <v>0.34</v>
      </c>
      <c r="E39" s="4">
        <v>0.56000000000000005</v>
      </c>
      <c r="G39" s="13">
        <f t="shared" ref="G39:G44" si="27">(E39^2-D39)^2/(2*($B$46-$A$46))</f>
        <v>5.3612307692307599E-4</v>
      </c>
      <c r="H39" s="13">
        <f t="shared" ref="H39:H44" si="28">C39*($C$46-G39)</f>
        <v>2.651255246769231E-2</v>
      </c>
      <c r="K39" s="5">
        <f t="shared" ref="K39:K44" si="29">(G39-$I$38)</f>
        <v>-0.26635931868131862</v>
      </c>
      <c r="L39" s="5">
        <f t="shared" ref="L39:L44" si="30">(H39-$J$38)</f>
        <v>-1.483821274978022E-2</v>
      </c>
      <c r="M39" s="5">
        <f t="shared" si="26"/>
        <v>7.0947286648376254E-2</v>
      </c>
      <c r="N39">
        <f t="shared" ref="N39:N44" si="31">K39*L39</f>
        <v>3.9522962384799147E-3</v>
      </c>
      <c r="R39" s="5">
        <f t="shared" ref="R39:R44" si="32">(H39-($P$38+$O$38*G39))^2</f>
        <v>9.7434024600861898E-8</v>
      </c>
      <c r="X39" s="5">
        <v>4.0000000000000001E-3</v>
      </c>
      <c r="Y39" s="5">
        <v>1.7669000000000001E-2</v>
      </c>
      <c r="AA39" s="5">
        <v>4.0000000000000001E-3</v>
      </c>
      <c r="AB39" s="5">
        <f>$O$38*AA39+$P$38</f>
        <v>2.6397431455714836E-2</v>
      </c>
      <c r="AC39" s="5">
        <v>0.26700000000000002</v>
      </c>
    </row>
    <row r="40" spans="1:29" ht="30" customHeight="1" thickBot="1" x14ac:dyDescent="0.3">
      <c r="A40" s="3">
        <v>3</v>
      </c>
      <c r="B40" s="11" t="s">
        <v>31</v>
      </c>
      <c r="C40" s="4">
        <f>3.5/1000</f>
        <v>3.5000000000000001E-3</v>
      </c>
      <c r="D40" s="4">
        <v>0.37</v>
      </c>
      <c r="E40" s="4">
        <v>0.87</v>
      </c>
      <c r="G40" s="13">
        <f t="shared" si="27"/>
        <v>0.11514739230769233</v>
      </c>
      <c r="H40" s="13">
        <f t="shared" si="28"/>
        <v>3.3966984126923075E-2</v>
      </c>
      <c r="K40" s="5">
        <f t="shared" si="29"/>
        <v>-0.15174804945054937</v>
      </c>
      <c r="L40" s="5">
        <f t="shared" si="30"/>
        <v>-7.3837810905494558E-3</v>
      </c>
      <c r="M40" s="5">
        <f t="shared" si="26"/>
        <v>2.3027470512046379E-2</v>
      </c>
      <c r="N40">
        <f t="shared" si="31"/>
        <v>1.1204743780607303E-3</v>
      </c>
      <c r="R40" s="5">
        <f t="shared" si="32"/>
        <v>1.5563964832285412E-6</v>
      </c>
      <c r="X40" s="5">
        <v>1E-3</v>
      </c>
      <c r="Y40" s="5">
        <v>2.6512999999999998E-2</v>
      </c>
      <c r="AA40" s="5">
        <v>1E-3</v>
      </c>
      <c r="AB40" s="5">
        <f t="shared" ref="AB40:AB45" si="33">$O$38*AA40+$P$38</f>
        <v>2.6226793269730136E-2</v>
      </c>
    </row>
    <row r="41" spans="1:29" ht="30" customHeight="1" thickBot="1" x14ac:dyDescent="0.3">
      <c r="A41" s="3">
        <v>4</v>
      </c>
      <c r="B41" s="11" t="s">
        <v>32</v>
      </c>
      <c r="C41" s="4">
        <f>4.4/1000</f>
        <v>4.4000000000000003E-3</v>
      </c>
      <c r="D41" s="4">
        <v>0.43</v>
      </c>
      <c r="E41" s="4">
        <v>0.97</v>
      </c>
      <c r="G41" s="13">
        <f t="shared" si="27"/>
        <v>0.20078369999999995</v>
      </c>
      <c r="H41" s="13">
        <f t="shared" si="28"/>
        <v>4.2324551719999999E-2</v>
      </c>
      <c r="K41" s="5">
        <f t="shared" si="29"/>
        <v>-6.6111741758241749E-2</v>
      </c>
      <c r="L41" s="5">
        <f t="shared" si="30"/>
        <v>9.7378650252746835E-4</v>
      </c>
      <c r="M41" s="5">
        <f t="shared" si="26"/>
        <v>4.3707623983084455E-3</v>
      </c>
      <c r="N41">
        <f t="shared" si="31"/>
        <v>-6.4378721782757409E-5</v>
      </c>
      <c r="R41" s="5">
        <f t="shared" si="32"/>
        <v>2.2412482975948062E-5</v>
      </c>
      <c r="X41" s="5">
        <v>0.115</v>
      </c>
      <c r="Y41" s="5">
        <v>3.3966999999999997E-2</v>
      </c>
      <c r="AA41" s="5">
        <v>0.115</v>
      </c>
      <c r="AB41" s="5">
        <f t="shared" si="33"/>
        <v>3.271104433714879E-2</v>
      </c>
    </row>
    <row r="42" spans="1:29" ht="30" customHeight="1" thickBot="1" x14ac:dyDescent="0.3">
      <c r="A42" s="3">
        <v>5</v>
      </c>
      <c r="B42" s="11" t="s">
        <v>33</v>
      </c>
      <c r="C42" s="4">
        <f>5.2/1000</f>
        <v>5.1999999999999998E-3</v>
      </c>
      <c r="D42" s="4">
        <v>0.47</v>
      </c>
      <c r="E42" s="4">
        <v>1.06</v>
      </c>
      <c r="G42" s="13">
        <f t="shared" si="27"/>
        <v>0.32860996923076941</v>
      </c>
      <c r="H42" s="13">
        <f t="shared" si="28"/>
        <v>4.935522816E-2</v>
      </c>
      <c r="K42" s="5">
        <f t="shared" si="29"/>
        <v>6.1714527472527703E-2</v>
      </c>
      <c r="L42" s="5">
        <f t="shared" si="30"/>
        <v>8.0044629425274696E-3</v>
      </c>
      <c r="M42" s="5">
        <f t="shared" si="26"/>
        <v>3.8086829011573765E-3</v>
      </c>
      <c r="N42">
        <f t="shared" si="31"/>
        <v>4.9399164816944145E-4</v>
      </c>
      <c r="R42" s="5">
        <f t="shared" si="32"/>
        <v>2.019763532872029E-5</v>
      </c>
      <c r="X42" s="5">
        <v>0.20100000000000001</v>
      </c>
      <c r="Y42" s="5">
        <v>4.2325000000000002E-2</v>
      </c>
      <c r="AA42" s="5">
        <v>0.20100000000000001</v>
      </c>
      <c r="AB42" s="5">
        <f t="shared" si="33"/>
        <v>3.7602672335376897E-2</v>
      </c>
    </row>
    <row r="43" spans="1:29" ht="30" customHeight="1" thickBot="1" x14ac:dyDescent="0.3">
      <c r="A43" s="3">
        <v>6</v>
      </c>
      <c r="B43" s="11" t="s">
        <v>34</v>
      </c>
      <c r="C43" s="4">
        <f>6.1/1000</f>
        <v>6.0999999999999995E-3</v>
      </c>
      <c r="D43" s="4">
        <v>0.49</v>
      </c>
      <c r="E43" s="4">
        <v>1.1299999999999999</v>
      </c>
      <c r="G43" s="13">
        <f t="shared" si="27"/>
        <v>0.47631662307692274</v>
      </c>
      <c r="H43" s="13">
        <f t="shared" si="28"/>
        <v>5.6996468599230771E-2</v>
      </c>
      <c r="K43" s="5">
        <f t="shared" si="29"/>
        <v>0.20942118131868104</v>
      </c>
      <c r="L43" s="5">
        <f t="shared" si="30"/>
        <v>1.564570338175824E-2</v>
      </c>
      <c r="M43" s="5">
        <f t="shared" si="26"/>
        <v>4.3857231184911881E-2</v>
      </c>
      <c r="N43">
        <f t="shared" si="31"/>
        <v>3.2765416847694933E-3</v>
      </c>
      <c r="R43" s="5">
        <f t="shared" si="32"/>
        <v>1.3942406644871142E-5</v>
      </c>
      <c r="X43" s="5">
        <v>0.32900000000000001</v>
      </c>
      <c r="Y43" s="5">
        <v>4.9355000000000003E-2</v>
      </c>
      <c r="AA43" s="5">
        <v>0.32900000000000001</v>
      </c>
      <c r="AB43" s="5">
        <f t="shared" si="33"/>
        <v>4.4883234937390819E-2</v>
      </c>
    </row>
    <row r="44" spans="1:29" ht="30" customHeight="1" thickBot="1" x14ac:dyDescent="0.3">
      <c r="A44" s="3">
        <v>7</v>
      </c>
      <c r="B44" s="11" t="s">
        <v>35</v>
      </c>
      <c r="C44" s="4">
        <f>6.9/1000</f>
        <v>6.9000000000000008E-3</v>
      </c>
      <c r="D44" s="4">
        <v>0.53</v>
      </c>
      <c r="E44" s="4">
        <v>1.23</v>
      </c>
      <c r="G44" s="13">
        <f t="shared" si="27"/>
        <v>0.74314800769230749</v>
      </c>
      <c r="H44" s="13">
        <f t="shared" si="28"/>
        <v>6.263027874692309E-2</v>
      </c>
      <c r="K44" s="5">
        <f t="shared" si="29"/>
        <v>0.47625256593406579</v>
      </c>
      <c r="L44" s="5">
        <f t="shared" si="30"/>
        <v>2.127951352945056E-2</v>
      </c>
      <c r="M44" s="5">
        <f t="shared" si="26"/>
        <v>0.22681650655878169</v>
      </c>
      <c r="N44">
        <f t="shared" si="31"/>
        <v>1.0134422920229497E-2</v>
      </c>
      <c r="R44" s="5">
        <f t="shared" si="32"/>
        <v>3.3749644752557284E-5</v>
      </c>
      <c r="X44" s="5">
        <v>0.47599999999999998</v>
      </c>
      <c r="Y44" s="5">
        <v>5.6995999999999998E-2</v>
      </c>
      <c r="AA44" s="5">
        <v>0.47599999999999998</v>
      </c>
      <c r="AB44" s="5">
        <f t="shared" si="33"/>
        <v>5.3244506050641183E-2</v>
      </c>
    </row>
    <row r="45" spans="1:29" x14ac:dyDescent="0.25">
      <c r="A45" s="5" t="s">
        <v>36</v>
      </c>
      <c r="B45" s="5" t="s">
        <v>37</v>
      </c>
      <c r="C45" s="5" t="s">
        <v>40</v>
      </c>
      <c r="D45" s="5" t="s">
        <v>13</v>
      </c>
      <c r="X45" s="5">
        <v>0.74299999999999999</v>
      </c>
      <c r="Y45" s="5">
        <v>6.3630000000000006E-2</v>
      </c>
      <c r="AA45" s="5">
        <v>0.74299999999999999</v>
      </c>
      <c r="AB45" s="5">
        <f t="shared" si="33"/>
        <v>6.8431304603279619E-2</v>
      </c>
    </row>
    <row r="46" spans="1:29" x14ac:dyDescent="0.25">
      <c r="A46" s="5">
        <v>0.15</v>
      </c>
      <c r="B46" s="5">
        <v>0.8</v>
      </c>
      <c r="C46" s="5">
        <f>9.82</f>
        <v>9.82</v>
      </c>
      <c r="D46">
        <v>2.4500000000000002</v>
      </c>
    </row>
    <row r="47" spans="1:29" ht="16.5" thickBot="1" x14ac:dyDescent="0.3"/>
    <row r="48" spans="1:29" ht="32.25" thickBot="1" x14ac:dyDescent="0.3">
      <c r="A48" s="9" t="s">
        <v>0</v>
      </c>
      <c r="B48" s="10" t="s">
        <v>26</v>
      </c>
      <c r="C48" s="10" t="s">
        <v>57</v>
      </c>
      <c r="D48" s="10" t="s">
        <v>27</v>
      </c>
      <c r="E48" s="10" t="s">
        <v>28</v>
      </c>
      <c r="G48" s="5" t="s">
        <v>38</v>
      </c>
      <c r="H48" s="5" t="s">
        <v>39</v>
      </c>
      <c r="I48" s="5" t="s">
        <v>41</v>
      </c>
      <c r="J48" s="5" t="s">
        <v>42</v>
      </c>
      <c r="K48" s="5" t="s">
        <v>43</v>
      </c>
      <c r="L48" s="5" t="s">
        <v>44</v>
      </c>
      <c r="M48" s="5" t="s">
        <v>45</v>
      </c>
      <c r="N48" s="5" t="s">
        <v>46</v>
      </c>
      <c r="O48" s="5" t="s">
        <v>52</v>
      </c>
      <c r="P48" s="5" t="s">
        <v>47</v>
      </c>
      <c r="Q48" s="5" t="s">
        <v>48</v>
      </c>
      <c r="R48" s="5" t="s">
        <v>50</v>
      </c>
      <c r="S48" s="5" t="s">
        <v>49</v>
      </c>
      <c r="T48" s="8" t="s">
        <v>51</v>
      </c>
    </row>
    <row r="49" spans="1:29" ht="33.75" customHeight="1" thickBot="1" x14ac:dyDescent="0.3">
      <c r="A49" s="3">
        <v>1</v>
      </c>
      <c r="B49" s="11" t="s">
        <v>29</v>
      </c>
      <c r="C49" s="4">
        <f>1.8/1000</f>
        <v>1.8E-3</v>
      </c>
      <c r="D49" s="4">
        <v>0.17</v>
      </c>
      <c r="E49" s="4">
        <v>0.41</v>
      </c>
      <c r="G49" s="13">
        <f>(E49^2-D49)^2/(2*($B$46-$A$46))</f>
        <v>2.7769230769231951E-6</v>
      </c>
      <c r="H49" s="13">
        <f>C49*($C$46-G49)</f>
        <v>1.767599500153846E-2</v>
      </c>
      <c r="I49" s="5">
        <f>AVERAGE(G49:G55)</f>
        <v>3.9526484615384598E-2</v>
      </c>
      <c r="J49" s="5">
        <f>AVERAGE(H49:H55)</f>
        <v>4.2689253096263743E-2</v>
      </c>
      <c r="K49" s="5">
        <f>G49-$I$49</f>
        <v>-3.9523707692307675E-2</v>
      </c>
      <c r="L49" s="5">
        <f>H49-$J$49</f>
        <v>-2.5013258094725283E-2</v>
      </c>
      <c r="M49" s="5">
        <f>K49^2</f>
        <v>1.5621234697469808E-3</v>
      </c>
      <c r="N49">
        <f>K49*L49</f>
        <v>9.8861670136817089E-4</v>
      </c>
      <c r="O49" s="12">
        <f>SUM(N49:N55)/SUM(M49:M55)</f>
        <v>0.37584002362188573</v>
      </c>
      <c r="P49" s="5">
        <f>J49-O49*I49</f>
        <v>2.7833618184727495E-2</v>
      </c>
      <c r="Q49" s="5">
        <f>SUM(M49:M55)</f>
        <v>1.1746372927708748E-2</v>
      </c>
      <c r="R49" s="5">
        <f>(H49-($P$49+$O$49*G49))^2</f>
        <v>1.0319851241358175E-4</v>
      </c>
      <c r="S49" s="5">
        <f>SQRT(SUM(R49:R55)/(Q49*5))</f>
        <v>6.3002806591150901E-2</v>
      </c>
      <c r="T49" s="13">
        <f>D46*S49</f>
        <v>0.15435687614831972</v>
      </c>
      <c r="W49" s="5">
        <v>6</v>
      </c>
      <c r="X49" s="5" t="s">
        <v>59</v>
      </c>
    </row>
    <row r="50" spans="1:29" ht="32.25" thickBot="1" x14ac:dyDescent="0.3">
      <c r="A50" s="3">
        <v>2</v>
      </c>
      <c r="B50" s="11" t="s">
        <v>30</v>
      </c>
      <c r="C50" s="4">
        <f>2.7/1000</f>
        <v>2.7000000000000001E-3</v>
      </c>
      <c r="D50" s="4">
        <v>0.23</v>
      </c>
      <c r="E50" s="4">
        <v>0.53</v>
      </c>
      <c r="G50" s="13">
        <f t="shared" ref="G50:G55" si="34">(E50^2-D50)^2/(2*($B$46-$A$46))</f>
        <v>1.9929307692307715E-3</v>
      </c>
      <c r="H50" s="13">
        <f t="shared" ref="H50:H55" si="35">C50*($C$46-G50)</f>
        <v>2.650861908692308E-2</v>
      </c>
      <c r="K50" s="5">
        <f t="shared" ref="K50:K55" si="36">G50-$I$49</f>
        <v>-3.7533553846153825E-2</v>
      </c>
      <c r="L50" s="5">
        <f t="shared" ref="L50:L55" si="37">H50-$J$49</f>
        <v>-1.6180634009340663E-2</v>
      </c>
      <c r="M50" s="5">
        <f t="shared" ref="M50:M55" si="38">K50^2</f>
        <v>1.4087676643221286E-3</v>
      </c>
      <c r="N50">
        <f t="shared" ref="N50:N55" si="39">K50*L50</f>
        <v>6.0731669785449565E-4</v>
      </c>
      <c r="R50" s="5">
        <f t="shared" ref="R50:R55" si="40">(H50-($P$49+$O$49*G50))^2</f>
        <v>4.3015682735383716E-6</v>
      </c>
      <c r="X50" s="5" t="s">
        <v>60</v>
      </c>
      <c r="Y50" s="5" t="s">
        <v>61</v>
      </c>
      <c r="AB50" s="5" t="s">
        <v>60</v>
      </c>
      <c r="AC50" s="5" t="s">
        <v>62</v>
      </c>
    </row>
    <row r="51" spans="1:29" ht="32.25" thickBot="1" x14ac:dyDescent="0.3">
      <c r="A51" s="3">
        <v>3</v>
      </c>
      <c r="B51" s="11" t="s">
        <v>31</v>
      </c>
      <c r="C51" s="4">
        <f>3.5/1000</f>
        <v>3.5000000000000001E-3</v>
      </c>
      <c r="D51" s="4">
        <v>0.26</v>
      </c>
      <c r="E51" s="4">
        <v>0.61</v>
      </c>
      <c r="G51" s="13">
        <f t="shared" si="34"/>
        <v>9.6664692307692271E-3</v>
      </c>
      <c r="H51" s="13">
        <f>C51*($C$46-G51)</f>
        <v>3.4336167357692307E-2</v>
      </c>
      <c r="K51" s="5">
        <f t="shared" si="36"/>
        <v>-2.9860015384615371E-2</v>
      </c>
      <c r="L51" s="5">
        <f t="shared" si="37"/>
        <v>-8.3530857385714363E-3</v>
      </c>
      <c r="M51" s="5">
        <f t="shared" si="38"/>
        <v>8.916205187694666E-4</v>
      </c>
      <c r="N51">
        <f t="shared" si="39"/>
        <v>2.4942326866275434E-4</v>
      </c>
      <c r="R51" s="5">
        <f t="shared" si="40"/>
        <v>8.2340483217322233E-6</v>
      </c>
      <c r="X51" s="5">
        <v>0</v>
      </c>
      <c r="Y51" s="5">
        <v>1.7676000000000001E-2</v>
      </c>
      <c r="AB51" s="5">
        <v>0</v>
      </c>
      <c r="AC51" s="5">
        <f>AB51*$O$49+$P$49</f>
        <v>2.7833618184727495E-2</v>
      </c>
    </row>
    <row r="52" spans="1:29" ht="32.25" thickBot="1" x14ac:dyDescent="0.3">
      <c r="A52" s="3">
        <v>4</v>
      </c>
      <c r="B52" s="11" t="s">
        <v>32</v>
      </c>
      <c r="C52" s="4">
        <f>4.4/1000</f>
        <v>4.4000000000000003E-3</v>
      </c>
      <c r="D52" s="4">
        <v>0.28999999999999998</v>
      </c>
      <c r="E52" s="4">
        <v>0.69</v>
      </c>
      <c r="G52" s="13">
        <f t="shared" si="34"/>
        <v>2.6640930769230752E-2</v>
      </c>
      <c r="H52" s="13">
        <f t="shared" si="35"/>
        <v>4.3090779904615385E-2</v>
      </c>
      <c r="K52" s="5">
        <f t="shared" si="36"/>
        <v>-1.2885553846153846E-2</v>
      </c>
      <c r="L52" s="5">
        <f t="shared" si="37"/>
        <v>4.0152680835164184E-4</v>
      </c>
      <c r="M52" s="5">
        <f t="shared" si="38"/>
        <v>1.6603749792213016E-4</v>
      </c>
      <c r="N52">
        <f t="shared" si="39"/>
        <v>-5.1738953096893768E-6</v>
      </c>
      <c r="R52" s="5">
        <f t="shared" si="40"/>
        <v>2.7504084521874098E-5</v>
      </c>
      <c r="X52" s="5">
        <v>2E-3</v>
      </c>
      <c r="Y52" s="5">
        <v>2.6509000000000001E-2</v>
      </c>
      <c r="AB52" s="5">
        <v>2E-3</v>
      </c>
      <c r="AC52" s="5">
        <f t="shared" ref="AC52:AC57" si="41">AB52*$O$49+$P$49</f>
        <v>2.8585298231971267E-2</v>
      </c>
    </row>
    <row r="53" spans="1:29" ht="32.25" thickBot="1" x14ac:dyDescent="0.3">
      <c r="A53" s="3">
        <v>5</v>
      </c>
      <c r="B53" s="11" t="s">
        <v>33</v>
      </c>
      <c r="C53" s="4">
        <f>5.2/1000</f>
        <v>5.1999999999999998E-3</v>
      </c>
      <c r="D53" s="4">
        <v>0.34</v>
      </c>
      <c r="E53" s="4">
        <v>0.75</v>
      </c>
      <c r="G53" s="13">
        <f t="shared" si="34"/>
        <v>3.8081730769230757E-2</v>
      </c>
      <c r="H53" s="13">
        <f t="shared" si="35"/>
        <v>5.0865975000000001E-2</v>
      </c>
      <c r="K53" s="5">
        <f t="shared" si="36"/>
        <v>-1.4447538461538414E-3</v>
      </c>
      <c r="L53" s="5">
        <f>H53-$J$49</f>
        <v>8.1767219037362573E-3</v>
      </c>
      <c r="M53" s="5">
        <f t="shared" si="38"/>
        <v>2.0873136759763178E-6</v>
      </c>
      <c r="N53">
        <f t="shared" si="39"/>
        <v>-1.1813350419353318E-5</v>
      </c>
      <c r="R53" s="5">
        <f t="shared" si="40"/>
        <v>7.6033485895538115E-5</v>
      </c>
      <c r="X53" s="5">
        <v>0.01</v>
      </c>
      <c r="Y53" s="5">
        <v>3.4335999999999998E-2</v>
      </c>
      <c r="AB53" s="5">
        <v>0.01</v>
      </c>
      <c r="AC53" s="5">
        <f t="shared" si="41"/>
        <v>3.1592018420946354E-2</v>
      </c>
    </row>
    <row r="54" spans="1:29" ht="32.25" thickBot="1" x14ac:dyDescent="0.3">
      <c r="A54" s="3">
        <v>6</v>
      </c>
      <c r="B54" s="11" t="s">
        <v>34</v>
      </c>
      <c r="C54" s="4">
        <f>6.1/1000</f>
        <v>6.0999999999999995E-3</v>
      </c>
      <c r="D54" s="4">
        <v>0.37</v>
      </c>
      <c r="E54" s="4">
        <v>0.84</v>
      </c>
      <c r="G54" s="13">
        <f t="shared" si="34"/>
        <v>8.6636430769230707E-2</v>
      </c>
      <c r="H54" s="13">
        <f t="shared" si="35"/>
        <v>5.9373517772307691E-2</v>
      </c>
      <c r="K54" s="5">
        <f t="shared" si="36"/>
        <v>4.7109946153846109E-2</v>
      </c>
      <c r="L54" s="5">
        <f t="shared" si="37"/>
        <v>1.6684264676043947E-2</v>
      </c>
      <c r="M54" s="5">
        <f t="shared" si="38"/>
        <v>2.2193470266182796E-3</v>
      </c>
      <c r="N54">
        <f t="shared" si="39"/>
        <v>7.8599481050494705E-4</v>
      </c>
      <c r="R54" s="5">
        <f t="shared" si="40"/>
        <v>1.0435411097440409E-6</v>
      </c>
      <c r="X54" s="5">
        <v>2.7E-2</v>
      </c>
      <c r="Y54" s="5">
        <v>4.3090999999999997E-2</v>
      </c>
      <c r="AB54" s="5">
        <v>2.7E-2</v>
      </c>
      <c r="AC54" s="5">
        <f t="shared" si="41"/>
        <v>3.7981298822518411E-2</v>
      </c>
    </row>
    <row r="55" spans="1:29" ht="32.25" thickBot="1" x14ac:dyDescent="0.3">
      <c r="A55" s="3">
        <v>7</v>
      </c>
      <c r="B55" s="11" t="s">
        <v>35</v>
      </c>
      <c r="C55" s="4">
        <f>6.9/1000</f>
        <v>6.9000000000000008E-3</v>
      </c>
      <c r="D55" s="4">
        <v>0.39</v>
      </c>
      <c r="E55" s="4">
        <v>0.88</v>
      </c>
      <c r="G55" s="13">
        <f t="shared" si="34"/>
        <v>0.11366412307692306</v>
      </c>
      <c r="H55" s="13">
        <f t="shared" si="35"/>
        <v>6.6973717550769238E-2</v>
      </c>
      <c r="K55" s="5">
        <f t="shared" si="36"/>
        <v>7.4137638461538452E-2</v>
      </c>
      <c r="L55" s="5">
        <f t="shared" si="37"/>
        <v>2.4284464454505494E-2</v>
      </c>
      <c r="M55" s="5">
        <f t="shared" si="38"/>
        <v>5.496389436653786E-3</v>
      </c>
      <c r="N55">
        <f t="shared" si="39"/>
        <v>1.8003928459602099E-3</v>
      </c>
      <c r="R55" s="5">
        <f t="shared" si="40"/>
        <v>1.2812300054777535E-5</v>
      </c>
      <c r="X55" s="5">
        <v>3.7999999999999999E-2</v>
      </c>
      <c r="Y55" s="5">
        <v>5.0866000000000001E-2</v>
      </c>
      <c r="AB55" s="5">
        <v>3.7999999999999999E-2</v>
      </c>
      <c r="AC55" s="5">
        <f t="shared" si="41"/>
        <v>4.2115539082359155E-2</v>
      </c>
    </row>
    <row r="56" spans="1:29" x14ac:dyDescent="0.25">
      <c r="X56" s="5">
        <v>8.6999999999999994E-2</v>
      </c>
      <c r="Y56" s="5">
        <v>5.9374000000000003E-2</v>
      </c>
      <c r="AB56" s="5">
        <v>8.6999999999999994E-2</v>
      </c>
      <c r="AC56" s="5">
        <f t="shared" si="41"/>
        <v>6.0531700239831551E-2</v>
      </c>
    </row>
    <row r="57" spans="1:29" x14ac:dyDescent="0.25">
      <c r="X57" s="5">
        <v>0.114</v>
      </c>
      <c r="Y57" s="5">
        <v>6.6974000000000006E-2</v>
      </c>
      <c r="AB57" s="5">
        <v>0.114</v>
      </c>
      <c r="AC57" s="5">
        <f t="shared" si="41"/>
        <v>7.0679380877622461E-2</v>
      </c>
    </row>
  </sheetData>
  <mergeCells count="8">
    <mergeCell ref="B29:B33"/>
    <mergeCell ref="C29:C33"/>
    <mergeCell ref="B2:B6"/>
    <mergeCell ref="C2:C6"/>
    <mergeCell ref="B11:B15"/>
    <mergeCell ref="C11:C15"/>
    <mergeCell ref="B20:B24"/>
    <mergeCell ref="C20:C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Зыков</dc:creator>
  <cp:lastModifiedBy>Андрей Зыков</cp:lastModifiedBy>
  <dcterms:created xsi:type="dcterms:W3CDTF">2025-11-09T14:00:12Z</dcterms:created>
  <dcterms:modified xsi:type="dcterms:W3CDTF">2025-11-10T19:31:31Z</dcterms:modified>
</cp:coreProperties>
</file>