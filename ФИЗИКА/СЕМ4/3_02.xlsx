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ownloads/"/>
    </mc:Choice>
  </mc:AlternateContent>
  <xr:revisionPtr revIDLastSave="0" documentId="13_ncr:1_{2E410829-687B-3D45-A49C-2FA63C55757F}" xr6:coauthVersionLast="47" xr6:coauthVersionMax="47" xr10:uidLastSave="{00000000-0000-0000-0000-000000000000}"/>
  <bookViews>
    <workbookView xWindow="0" yWindow="660" windowWidth="29040" windowHeight="15720" xr2:uid="{E8AF2931-7AC2-407E-8097-76542DDFC8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3" i="1"/>
  <c r="B8" i="1"/>
  <c r="C8" i="1" s="1"/>
  <c r="A8" i="1"/>
  <c r="C12" i="1"/>
  <c r="E12" i="1" s="1"/>
  <c r="B21" i="1"/>
  <c r="C21" i="1" s="1"/>
  <c r="E21" i="1" s="1"/>
  <c r="B20" i="1"/>
  <c r="C20" i="1" s="1"/>
  <c r="E20" i="1" s="1"/>
  <c r="B19" i="1"/>
  <c r="C19" i="1" s="1"/>
  <c r="B18" i="1"/>
  <c r="C18" i="1" s="1"/>
  <c r="D18" i="1" s="1"/>
  <c r="B17" i="1"/>
  <c r="C17" i="1" s="1"/>
  <c r="B16" i="1"/>
  <c r="C16" i="1" s="1"/>
  <c r="B15" i="1"/>
  <c r="C15" i="1" s="1"/>
  <c r="B14" i="1"/>
  <c r="C14" i="1" s="1"/>
  <c r="D14" i="1" s="1"/>
  <c r="B13" i="1"/>
  <c r="C13" i="1" s="1"/>
  <c r="E13" i="1" s="1"/>
  <c r="B12" i="1"/>
  <c r="B11" i="1"/>
  <c r="C11" i="1" s="1"/>
  <c r="B10" i="1"/>
  <c r="C10" i="1" s="1"/>
  <c r="E10" i="1" s="1"/>
  <c r="B9" i="1"/>
  <c r="C9" i="1" s="1"/>
  <c r="B7" i="1"/>
  <c r="C7" i="1" s="1"/>
  <c r="B6" i="1"/>
  <c r="C6" i="1" s="1"/>
  <c r="B5" i="1"/>
  <c r="C5" i="1" s="1"/>
  <c r="B4" i="1"/>
  <c r="C4" i="1" s="1"/>
  <c r="B3" i="1"/>
  <c r="C3" i="1" s="1"/>
  <c r="E3" i="1" s="1"/>
  <c r="B2" i="1"/>
  <c r="C2" i="1" s="1"/>
  <c r="A21" i="1"/>
  <c r="A20" i="1"/>
  <c r="A19" i="1"/>
  <c r="A18" i="1"/>
  <c r="A17" i="1"/>
  <c r="D17" i="1" s="1"/>
  <c r="A16" i="1"/>
  <c r="A15" i="1"/>
  <c r="A14" i="1"/>
  <c r="A13" i="1"/>
  <c r="A12" i="1"/>
  <c r="A11" i="1"/>
  <c r="A10" i="1"/>
  <c r="A9" i="1"/>
  <c r="A7" i="1"/>
  <c r="A6" i="1"/>
  <c r="A5" i="1"/>
  <c r="A4" i="1"/>
  <c r="A3" i="1"/>
  <c r="A2" i="1"/>
  <c r="D2" i="1" l="1"/>
  <c r="D5" i="1"/>
  <c r="D11" i="1"/>
  <c r="D7" i="1"/>
  <c r="D19" i="1"/>
  <c r="D3" i="1"/>
  <c r="D12" i="1"/>
  <c r="D16" i="1"/>
  <c r="D20" i="1"/>
  <c r="F5" i="1"/>
  <c r="G5" i="1" s="1"/>
  <c r="D9" i="1"/>
  <c r="D4" i="1"/>
  <c r="D13" i="1"/>
  <c r="D21" i="1"/>
  <c r="D6" i="1"/>
  <c r="D15" i="1"/>
  <c r="F19" i="1"/>
  <c r="F9" i="1"/>
  <c r="D10" i="1"/>
  <c r="F18" i="1"/>
  <c r="G18" i="1" s="1"/>
  <c r="F7" i="1"/>
  <c r="G7" i="1" s="1"/>
  <c r="F17" i="1"/>
  <c r="G17" i="1" s="1"/>
  <c r="F6" i="1"/>
  <c r="F16" i="1"/>
  <c r="G16" i="1" s="1"/>
  <c r="F4" i="1"/>
  <c r="F24" i="1"/>
  <c r="F15" i="1"/>
  <c r="F3" i="1"/>
  <c r="G3" i="1" s="1"/>
  <c r="B23" i="1"/>
  <c r="F13" i="1"/>
  <c r="G13" i="1" s="1"/>
  <c r="F21" i="1"/>
  <c r="G21" i="1" s="1"/>
  <c r="F12" i="1"/>
  <c r="G12" i="1" s="1"/>
  <c r="F20" i="1"/>
  <c r="F11" i="1"/>
  <c r="E11" i="1"/>
  <c r="F10" i="1"/>
  <c r="G10" i="1" s="1"/>
  <c r="F2" i="1"/>
  <c r="G2" i="1" s="1"/>
  <c r="F14" i="1"/>
  <c r="G14" i="1" s="1"/>
  <c r="E9" i="1"/>
  <c r="E16" i="1"/>
  <c r="E15" i="1"/>
  <c r="E6" i="1"/>
  <c r="E18" i="1"/>
  <c r="E17" i="1"/>
  <c r="E7" i="1"/>
  <c r="E2" i="1"/>
  <c r="E14" i="1"/>
  <c r="E5" i="1"/>
  <c r="E4" i="1"/>
  <c r="E19" i="1"/>
  <c r="D8" i="1"/>
  <c r="E8" i="1"/>
  <c r="F8" i="1"/>
  <c r="B24" i="1"/>
  <c r="F23" i="1"/>
  <c r="G11" i="1" l="1"/>
  <c r="G9" i="1"/>
  <c r="G20" i="1"/>
  <c r="G19" i="1"/>
  <c r="G6" i="1"/>
  <c r="G4" i="1"/>
  <c r="G15" i="1"/>
  <c r="G8" i="1"/>
</calcChain>
</file>

<file path=xl/sharedStrings.xml><?xml version="1.0" encoding="utf-8"?>
<sst xmlns="http://schemas.openxmlformats.org/spreadsheetml/2006/main" count="11" uniqueCount="11">
  <si>
    <t>U, В</t>
  </si>
  <si>
    <t>I, мА</t>
  </si>
  <si>
    <t>r</t>
  </si>
  <si>
    <t xml:space="preserve">Eps </t>
  </si>
  <si>
    <t>I, А</t>
  </si>
  <si>
    <t>∆r</t>
  </si>
  <si>
    <t>∆Eps</t>
  </si>
  <si>
    <t>PR, мВт</t>
  </si>
  <si>
    <t>PS, мВт</t>
  </si>
  <si>
    <t>P, мВт</t>
  </si>
  <si>
    <t>КПД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</si>
</sst>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0"/>
  </numFmts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164" fontId="0" fillId="0" borderId="0" xfId="0" applyNumberFormat="1"/>
    <xf numFmtId="166" fontId="0" fillId="0" borderId="0" xfId="0" applyNumberFormat="1"/>
    <xf numFmtId="2" fontId="3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U(I)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053904946158835"/>
          <c:y val="0.19723523898781631"/>
          <c:w val="0.81814973478043651"/>
          <c:h val="0.63413964528107891"/>
        </c:manualLayout>
      </c:layout>
      <c:scatterChart>
        <c:scatterStyle val="lineMarker"/>
        <c:varyColors val="0"/>
        <c:ser>
          <c:idx val="0"/>
          <c:order val="0"/>
          <c:tx>
            <c:v>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216013432523865E-2"/>
                  <c:y val="-0.196148791238530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Лист1!$B$2:$B$21</c:f>
              <c:numCache>
                <c:formatCode>0.00</c:formatCode>
                <c:ptCount val="20"/>
                <c:pt idx="0">
                  <c:v>15.08</c:v>
                </c:pt>
                <c:pt idx="1">
                  <c:v>13.9</c:v>
                </c:pt>
                <c:pt idx="2">
                  <c:v>12.56</c:v>
                </c:pt>
                <c:pt idx="3">
                  <c:v>11.37</c:v>
                </c:pt>
                <c:pt idx="4">
                  <c:v>10.38</c:v>
                </c:pt>
                <c:pt idx="5">
                  <c:v>9.33</c:v>
                </c:pt>
                <c:pt idx="6">
                  <c:v>8.5500000000000007</c:v>
                </c:pt>
                <c:pt idx="7">
                  <c:v>8.0299999999999994</c:v>
                </c:pt>
                <c:pt idx="8">
                  <c:v>7.72</c:v>
                </c:pt>
                <c:pt idx="9">
                  <c:v>7.52</c:v>
                </c:pt>
                <c:pt idx="10">
                  <c:v>7.39</c:v>
                </c:pt>
                <c:pt idx="11">
                  <c:v>7.15</c:v>
                </c:pt>
                <c:pt idx="12">
                  <c:v>6.87</c:v>
                </c:pt>
                <c:pt idx="13">
                  <c:v>6.64</c:v>
                </c:pt>
                <c:pt idx="14">
                  <c:v>6.26</c:v>
                </c:pt>
                <c:pt idx="15">
                  <c:v>6.07</c:v>
                </c:pt>
                <c:pt idx="16">
                  <c:v>5.91</c:v>
                </c:pt>
                <c:pt idx="17">
                  <c:v>5.7</c:v>
                </c:pt>
                <c:pt idx="18">
                  <c:v>5.48</c:v>
                </c:pt>
                <c:pt idx="19">
                  <c:v>5.14</c:v>
                </c:pt>
              </c:numCache>
            </c:numRef>
          </c:xVal>
          <c:yVal>
            <c:numRef>
              <c:f>Лист1!$A$2:$A$21</c:f>
              <c:numCache>
                <c:formatCode>0.00</c:formatCode>
                <c:ptCount val="20"/>
                <c:pt idx="0">
                  <c:v>0.02</c:v>
                </c:pt>
                <c:pt idx="1">
                  <c:v>0.81</c:v>
                </c:pt>
                <c:pt idx="2">
                  <c:v>1.73</c:v>
                </c:pt>
                <c:pt idx="3">
                  <c:v>2.5299999999999998</c:v>
                </c:pt>
                <c:pt idx="4">
                  <c:v>3.2</c:v>
                </c:pt>
                <c:pt idx="5">
                  <c:v>3.91</c:v>
                </c:pt>
                <c:pt idx="6">
                  <c:v>4.41</c:v>
                </c:pt>
                <c:pt idx="7">
                  <c:v>4.79</c:v>
                </c:pt>
                <c:pt idx="8">
                  <c:v>5.01</c:v>
                </c:pt>
                <c:pt idx="9">
                  <c:v>5.14</c:v>
                </c:pt>
                <c:pt idx="10">
                  <c:v>5.23</c:v>
                </c:pt>
                <c:pt idx="11">
                  <c:v>5.39</c:v>
                </c:pt>
                <c:pt idx="12">
                  <c:v>5.58</c:v>
                </c:pt>
                <c:pt idx="13">
                  <c:v>5.74</c:v>
                </c:pt>
                <c:pt idx="14">
                  <c:v>5.99</c:v>
                </c:pt>
                <c:pt idx="15">
                  <c:v>6.12</c:v>
                </c:pt>
                <c:pt idx="16">
                  <c:v>6.23</c:v>
                </c:pt>
                <c:pt idx="17">
                  <c:v>6.38</c:v>
                </c:pt>
                <c:pt idx="18">
                  <c:v>6.53</c:v>
                </c:pt>
                <c:pt idx="19">
                  <c:v>6.76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E4-410B-B17C-4564AFFCF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732784"/>
        <c:axId val="490518768"/>
      </c:scatterChart>
      <c:valAx>
        <c:axId val="512732784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I, </a:t>
                </a: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мА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0518768"/>
        <c:crosses val="autoZero"/>
        <c:crossBetween val="midCat"/>
      </c:valAx>
      <c:valAx>
        <c:axId val="49051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 </a:t>
                </a:r>
                <a:r>
                  <a:rPr lang="ru-RU"/>
                  <a:t>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273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i="0"/>
              <a:t>𝜂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5.2"/>
            <c:dispRSqr val="0"/>
            <c:dispEq val="1"/>
            <c:trendlineLbl>
              <c:layout>
                <c:manualLayout>
                  <c:x val="3.7728549063541304E-2"/>
                  <c:y val="-0.215751135310167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Лист1!$B$2:$B$21</c:f>
              <c:numCache>
                <c:formatCode>0.00</c:formatCode>
                <c:ptCount val="20"/>
                <c:pt idx="0">
                  <c:v>15.08</c:v>
                </c:pt>
                <c:pt idx="1">
                  <c:v>13.9</c:v>
                </c:pt>
                <c:pt idx="2">
                  <c:v>12.56</c:v>
                </c:pt>
                <c:pt idx="3">
                  <c:v>11.37</c:v>
                </c:pt>
                <c:pt idx="4">
                  <c:v>10.38</c:v>
                </c:pt>
                <c:pt idx="5">
                  <c:v>9.33</c:v>
                </c:pt>
                <c:pt idx="6">
                  <c:v>8.5500000000000007</c:v>
                </c:pt>
                <c:pt idx="7">
                  <c:v>8.0299999999999994</c:v>
                </c:pt>
                <c:pt idx="8">
                  <c:v>7.72</c:v>
                </c:pt>
                <c:pt idx="9">
                  <c:v>7.52</c:v>
                </c:pt>
                <c:pt idx="10">
                  <c:v>7.39</c:v>
                </c:pt>
                <c:pt idx="11">
                  <c:v>7.15</c:v>
                </c:pt>
                <c:pt idx="12">
                  <c:v>6.87</c:v>
                </c:pt>
                <c:pt idx="13">
                  <c:v>6.64</c:v>
                </c:pt>
                <c:pt idx="14">
                  <c:v>6.26</c:v>
                </c:pt>
                <c:pt idx="15">
                  <c:v>6.07</c:v>
                </c:pt>
                <c:pt idx="16">
                  <c:v>5.91</c:v>
                </c:pt>
                <c:pt idx="17">
                  <c:v>5.7</c:v>
                </c:pt>
                <c:pt idx="18">
                  <c:v>5.48</c:v>
                </c:pt>
                <c:pt idx="19">
                  <c:v>5.14</c:v>
                </c:pt>
              </c:numCache>
            </c:numRef>
          </c:xVal>
          <c:yVal>
            <c:numRef>
              <c:f>Лист1!$G$2:$G$21</c:f>
              <c:numCache>
                <c:formatCode>0.000</c:formatCode>
                <c:ptCount val="20"/>
                <c:pt idx="0">
                  <c:v>1.953125E-3</c:v>
                </c:pt>
                <c:pt idx="1">
                  <c:v>7.9101562500000014E-2</c:v>
                </c:pt>
                <c:pt idx="2">
                  <c:v>0.1689453125</c:v>
                </c:pt>
                <c:pt idx="3">
                  <c:v>0.24707031249999997</c:v>
                </c:pt>
                <c:pt idx="4">
                  <c:v>0.3125</c:v>
                </c:pt>
                <c:pt idx="5">
                  <c:v>0.38183593749999994</c:v>
                </c:pt>
                <c:pt idx="6">
                  <c:v>0.4306640625</c:v>
                </c:pt>
                <c:pt idx="7">
                  <c:v>0.46777343750000006</c:v>
                </c:pt>
                <c:pt idx="8">
                  <c:v>0.48925781249999994</c:v>
                </c:pt>
                <c:pt idx="9">
                  <c:v>0.50195312499999989</c:v>
                </c:pt>
                <c:pt idx="10">
                  <c:v>0.51074218750000011</c:v>
                </c:pt>
                <c:pt idx="11">
                  <c:v>0.52636718749999989</c:v>
                </c:pt>
                <c:pt idx="12">
                  <c:v>0.544921875</c:v>
                </c:pt>
                <c:pt idx="13">
                  <c:v>0.56054687500000011</c:v>
                </c:pt>
                <c:pt idx="14">
                  <c:v>0.5849609375</c:v>
                </c:pt>
                <c:pt idx="15">
                  <c:v>0.59765625</c:v>
                </c:pt>
                <c:pt idx="16">
                  <c:v>0.6083984375</c:v>
                </c:pt>
                <c:pt idx="17">
                  <c:v>0.623046875</c:v>
                </c:pt>
                <c:pt idx="18">
                  <c:v>0.63769531250000011</c:v>
                </c:pt>
                <c:pt idx="19">
                  <c:v>0.66015625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57-47EE-A9B3-32FEF35E7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136143"/>
        <c:axId val="1227129903"/>
      </c:scatterChart>
      <c:valAx>
        <c:axId val="122713614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I, </a:t>
                </a: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мА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7129903"/>
        <c:crosses val="autoZero"/>
        <c:crossBetween val="midCat"/>
      </c:valAx>
      <c:valAx>
        <c:axId val="122712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𝜂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713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P(I)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5"/>
            <c:dispRSqr val="0"/>
            <c:dispEq val="0"/>
          </c:trendline>
          <c:xVal>
            <c:numRef>
              <c:f>Лист1!$B$2:$B$21</c:f>
              <c:numCache>
                <c:formatCode>0.00</c:formatCode>
                <c:ptCount val="20"/>
                <c:pt idx="0">
                  <c:v>15.08</c:v>
                </c:pt>
                <c:pt idx="1">
                  <c:v>13.9</c:v>
                </c:pt>
                <c:pt idx="2">
                  <c:v>12.56</c:v>
                </c:pt>
                <c:pt idx="3">
                  <c:v>11.37</c:v>
                </c:pt>
                <c:pt idx="4">
                  <c:v>10.38</c:v>
                </c:pt>
                <c:pt idx="5">
                  <c:v>9.33</c:v>
                </c:pt>
                <c:pt idx="6">
                  <c:v>8.5500000000000007</c:v>
                </c:pt>
                <c:pt idx="7">
                  <c:v>8.0299999999999994</c:v>
                </c:pt>
                <c:pt idx="8">
                  <c:v>7.72</c:v>
                </c:pt>
                <c:pt idx="9">
                  <c:v>7.52</c:v>
                </c:pt>
                <c:pt idx="10">
                  <c:v>7.39</c:v>
                </c:pt>
                <c:pt idx="11">
                  <c:v>7.15</c:v>
                </c:pt>
                <c:pt idx="12">
                  <c:v>6.87</c:v>
                </c:pt>
                <c:pt idx="13">
                  <c:v>6.64</c:v>
                </c:pt>
                <c:pt idx="14">
                  <c:v>6.26</c:v>
                </c:pt>
                <c:pt idx="15">
                  <c:v>6.07</c:v>
                </c:pt>
                <c:pt idx="16">
                  <c:v>5.91</c:v>
                </c:pt>
                <c:pt idx="17">
                  <c:v>5.7</c:v>
                </c:pt>
                <c:pt idx="18">
                  <c:v>5.48</c:v>
                </c:pt>
                <c:pt idx="19">
                  <c:v>5.14</c:v>
                </c:pt>
              </c:numCache>
            </c:numRef>
          </c:xVal>
          <c:yVal>
            <c:numRef>
              <c:f>Лист1!$F$2:$F$21</c:f>
              <c:numCache>
                <c:formatCode>0.00</c:formatCode>
                <c:ptCount val="20"/>
                <c:pt idx="0">
                  <c:v>154.41920000000002</c:v>
                </c:pt>
                <c:pt idx="1">
                  <c:v>142.33600000000001</c:v>
                </c:pt>
                <c:pt idx="2">
                  <c:v>128.61439999999999</c:v>
                </c:pt>
                <c:pt idx="3">
                  <c:v>116.4288</c:v>
                </c:pt>
                <c:pt idx="4">
                  <c:v>106.2912</c:v>
                </c:pt>
                <c:pt idx="5">
                  <c:v>95.539200000000008</c:v>
                </c:pt>
                <c:pt idx="6">
                  <c:v>87.552000000000007</c:v>
                </c:pt>
                <c:pt idx="7">
                  <c:v>82.227199999999982</c:v>
                </c:pt>
                <c:pt idx="8">
                  <c:v>79.052799999999991</c:v>
                </c:pt>
                <c:pt idx="9">
                  <c:v>77.004800000000003</c:v>
                </c:pt>
                <c:pt idx="10">
                  <c:v>75.673599999999993</c:v>
                </c:pt>
                <c:pt idx="11">
                  <c:v>73.216000000000008</c:v>
                </c:pt>
                <c:pt idx="12">
                  <c:v>70.348799999999997</c:v>
                </c:pt>
                <c:pt idx="13">
                  <c:v>67.993600000000001</c:v>
                </c:pt>
                <c:pt idx="14">
                  <c:v>64.102400000000003</c:v>
                </c:pt>
                <c:pt idx="15">
                  <c:v>62.156799999999997</c:v>
                </c:pt>
                <c:pt idx="16">
                  <c:v>60.518400000000007</c:v>
                </c:pt>
                <c:pt idx="17">
                  <c:v>58.368000000000002</c:v>
                </c:pt>
                <c:pt idx="18">
                  <c:v>56.115200000000002</c:v>
                </c:pt>
                <c:pt idx="19">
                  <c:v>52.633599999999994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E-4BBD-9D68-23BBD4247E5D}"/>
            </c:ext>
          </c:extLst>
        </c:ser>
        <c:ser>
          <c:idx val="1"/>
          <c:order val="1"/>
          <c:tx>
            <c:v>PS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backward val="5"/>
            <c:dispRSqr val="0"/>
            <c:dispEq val="0"/>
          </c:trendline>
          <c:xVal>
            <c:numRef>
              <c:f>Лист1!$B$2:$B$21</c:f>
              <c:numCache>
                <c:formatCode>0.00</c:formatCode>
                <c:ptCount val="20"/>
                <c:pt idx="0">
                  <c:v>15.08</c:v>
                </c:pt>
                <c:pt idx="1">
                  <c:v>13.9</c:v>
                </c:pt>
                <c:pt idx="2">
                  <c:v>12.56</c:v>
                </c:pt>
                <c:pt idx="3">
                  <c:v>11.37</c:v>
                </c:pt>
                <c:pt idx="4">
                  <c:v>10.38</c:v>
                </c:pt>
                <c:pt idx="5">
                  <c:v>9.33</c:v>
                </c:pt>
                <c:pt idx="6">
                  <c:v>8.5500000000000007</c:v>
                </c:pt>
                <c:pt idx="7">
                  <c:v>8.0299999999999994</c:v>
                </c:pt>
                <c:pt idx="8">
                  <c:v>7.72</c:v>
                </c:pt>
                <c:pt idx="9">
                  <c:v>7.52</c:v>
                </c:pt>
                <c:pt idx="10">
                  <c:v>7.39</c:v>
                </c:pt>
                <c:pt idx="11">
                  <c:v>7.15</c:v>
                </c:pt>
                <c:pt idx="12">
                  <c:v>6.87</c:v>
                </c:pt>
                <c:pt idx="13">
                  <c:v>6.64</c:v>
                </c:pt>
                <c:pt idx="14">
                  <c:v>6.26</c:v>
                </c:pt>
                <c:pt idx="15">
                  <c:v>6.07</c:v>
                </c:pt>
                <c:pt idx="16">
                  <c:v>5.91</c:v>
                </c:pt>
                <c:pt idx="17">
                  <c:v>5.7</c:v>
                </c:pt>
                <c:pt idx="18">
                  <c:v>5.48</c:v>
                </c:pt>
                <c:pt idx="19">
                  <c:v>5.14</c:v>
                </c:pt>
              </c:numCache>
            </c:numRef>
          </c:xVal>
          <c:yVal>
            <c:numRef>
              <c:f>Лист1!$E$2:$E$21</c:f>
              <c:numCache>
                <c:formatCode>0.00</c:formatCode>
                <c:ptCount val="20"/>
                <c:pt idx="0">
                  <c:v>154.19518358399998</c:v>
                </c:pt>
                <c:pt idx="1">
                  <c:v>131.00797260000002</c:v>
                </c:pt>
                <c:pt idx="2">
                  <c:v>106.96640601599999</c:v>
                </c:pt>
                <c:pt idx="3">
                  <c:v>87.657494813999989</c:v>
                </c:pt>
                <c:pt idx="4">
                  <c:v>73.057167864000007</c:v>
                </c:pt>
                <c:pt idx="5">
                  <c:v>59.024377133999991</c:v>
                </c:pt>
                <c:pt idx="6">
                  <c:v>49.567881149999991</c:v>
                </c:pt>
                <c:pt idx="7">
                  <c:v>43.72191905399999</c:v>
                </c:pt>
                <c:pt idx="8">
                  <c:v>40.411291103999993</c:v>
                </c:pt>
                <c:pt idx="9">
                  <c:v>38.344564223999996</c:v>
                </c:pt>
                <c:pt idx="10">
                  <c:v>37.030280525999999</c:v>
                </c:pt>
                <c:pt idx="11">
                  <c:v>34.66412235</c:v>
                </c:pt>
                <c:pt idx="12">
                  <c:v>32.002330013999995</c:v>
                </c:pt>
                <c:pt idx="13">
                  <c:v>29.895394175999996</c:v>
                </c:pt>
                <c:pt idx="14">
                  <c:v>26.571544055999997</c:v>
                </c:pt>
                <c:pt idx="15">
                  <c:v>24.983052893999993</c:v>
                </c:pt>
                <c:pt idx="16">
                  <c:v>23.683347486000002</c:v>
                </c:pt>
                <c:pt idx="17">
                  <c:v>22.030169400000002</c:v>
                </c:pt>
                <c:pt idx="18">
                  <c:v>20.362413024000002</c:v>
                </c:pt>
                <c:pt idx="19">
                  <c:v>17.914073975999994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6E-4BBD-9D68-23BBD4247E5D}"/>
            </c:ext>
          </c:extLst>
        </c:ser>
        <c:ser>
          <c:idx val="2"/>
          <c:order val="2"/>
          <c:tx>
            <c:v>PR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backward val="5"/>
            <c:dispRSqr val="0"/>
            <c:dispEq val="0"/>
          </c:trendline>
          <c:xVal>
            <c:numRef>
              <c:f>Лист1!$B$2:$B$21</c:f>
              <c:numCache>
                <c:formatCode>0.00</c:formatCode>
                <c:ptCount val="20"/>
                <c:pt idx="0">
                  <c:v>15.08</c:v>
                </c:pt>
                <c:pt idx="1">
                  <c:v>13.9</c:v>
                </c:pt>
                <c:pt idx="2">
                  <c:v>12.56</c:v>
                </c:pt>
                <c:pt idx="3">
                  <c:v>11.37</c:v>
                </c:pt>
                <c:pt idx="4">
                  <c:v>10.38</c:v>
                </c:pt>
                <c:pt idx="5">
                  <c:v>9.33</c:v>
                </c:pt>
                <c:pt idx="6">
                  <c:v>8.5500000000000007</c:v>
                </c:pt>
                <c:pt idx="7">
                  <c:v>8.0299999999999994</c:v>
                </c:pt>
                <c:pt idx="8">
                  <c:v>7.72</c:v>
                </c:pt>
                <c:pt idx="9">
                  <c:v>7.52</c:v>
                </c:pt>
                <c:pt idx="10">
                  <c:v>7.39</c:v>
                </c:pt>
                <c:pt idx="11">
                  <c:v>7.15</c:v>
                </c:pt>
                <c:pt idx="12">
                  <c:v>6.87</c:v>
                </c:pt>
                <c:pt idx="13">
                  <c:v>6.64</c:v>
                </c:pt>
                <c:pt idx="14">
                  <c:v>6.26</c:v>
                </c:pt>
                <c:pt idx="15">
                  <c:v>6.07</c:v>
                </c:pt>
                <c:pt idx="16">
                  <c:v>5.91</c:v>
                </c:pt>
                <c:pt idx="17">
                  <c:v>5.7</c:v>
                </c:pt>
                <c:pt idx="18">
                  <c:v>5.48</c:v>
                </c:pt>
                <c:pt idx="19">
                  <c:v>5.14</c:v>
                </c:pt>
              </c:numCache>
            </c:numRef>
          </c:xVal>
          <c:yVal>
            <c:numRef>
              <c:f>Лист1!$D$2:$D$21</c:f>
              <c:numCache>
                <c:formatCode>0.00</c:formatCode>
                <c:ptCount val="20"/>
                <c:pt idx="0">
                  <c:v>0.30160000000000003</c:v>
                </c:pt>
                <c:pt idx="1">
                  <c:v>11.259000000000002</c:v>
                </c:pt>
                <c:pt idx="2">
                  <c:v>21.7288</c:v>
                </c:pt>
                <c:pt idx="3">
                  <c:v>28.766099999999994</c:v>
                </c:pt>
                <c:pt idx="4">
                  <c:v>33.216000000000001</c:v>
                </c:pt>
                <c:pt idx="5">
                  <c:v>36.4803</c:v>
                </c:pt>
                <c:pt idx="6">
                  <c:v>37.705500000000001</c:v>
                </c:pt>
                <c:pt idx="7">
                  <c:v>38.463699999999996</c:v>
                </c:pt>
                <c:pt idx="8">
                  <c:v>38.677199999999992</c:v>
                </c:pt>
                <c:pt idx="9">
                  <c:v>38.652799999999992</c:v>
                </c:pt>
                <c:pt idx="10">
                  <c:v>38.649700000000003</c:v>
                </c:pt>
                <c:pt idx="11">
                  <c:v>38.538499999999999</c:v>
                </c:pt>
                <c:pt idx="12">
                  <c:v>38.334600000000002</c:v>
                </c:pt>
                <c:pt idx="13">
                  <c:v>38.113600000000005</c:v>
                </c:pt>
                <c:pt idx="14">
                  <c:v>37.497399999999999</c:v>
                </c:pt>
                <c:pt idx="15">
                  <c:v>37.148399999999995</c:v>
                </c:pt>
                <c:pt idx="16">
                  <c:v>36.819300000000005</c:v>
                </c:pt>
                <c:pt idx="17">
                  <c:v>36.366</c:v>
                </c:pt>
                <c:pt idx="18">
                  <c:v>35.784400000000005</c:v>
                </c:pt>
                <c:pt idx="19">
                  <c:v>34.746399999999994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6E-4BBD-9D68-23BBD4247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611224"/>
        <c:axId val="555614744"/>
      </c:scatterChart>
      <c:valAx>
        <c:axId val="55561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614744"/>
        <c:crosses val="autoZero"/>
        <c:crossBetween val="midCat"/>
      </c:valAx>
      <c:valAx>
        <c:axId val="55561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61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530860</xdr:colOff>
      <xdr:row>2</xdr:row>
      <xdr:rowOff>72390</xdr:rowOff>
    </xdr:from>
    <xdr:to>
      <xdr:col>15</xdr:col>
      <xdr:colOff>226060</xdr:colOff>
      <xdr:row>15</xdr:row>
      <xdr:rowOff>140970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1A43C58-F409-1BEC-9320-FC9C4BE7B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7056</xdr:colOff>
      <xdr:row>2</xdr:row>
      <xdr:rowOff>83608</xdr:rowOff>
    </xdr:from>
    <xdr:to>
      <xdr:col>23</xdr:col>
      <xdr:colOff>195792</xdr:colOff>
      <xdr:row>15</xdr:row>
      <xdr:rowOff>189794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00A88C6-7B8E-3EB0-8680-E8DB570D8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477296</xdr:colOff>
      <xdr:row>16</xdr:row>
      <xdr:rowOff>148213</xdr:rowOff>
    </xdr:from>
    <xdr:to>
      <xdr:col>17</xdr:col>
      <xdr:colOff>50320</xdr:colOff>
      <xdr:row>31</xdr:row>
      <xdr:rowOff>2512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5978CEE-238A-9569-6E4A-CF9499FA5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7F86-B340-4A66-BA77-A6ED521A8BF1}">
  <dimension ref="A1:G24"/>
  <sheetViews>
    <sheetView tabSelected="1" zoomScaleNormal="100" workbookViewId="0">
      <selection activeCell="G2" sqref="G2:G12"/>
    </sheetView>
  </sheetViews>
  <sheetFormatPr baseColWidth="10" defaultColWidth="8.83203125" defaultRowHeight="15" x14ac:dyDescent="0.2"/>
  <cols>
    <col min="1" max="2" width="9.33203125" style="1" bestFit="1" customWidth="1"/>
    <col min="3" max="3" width="9.5" style="1" bestFit="1" customWidth="1"/>
    <col min="4" max="5" width="12.5" style="1" bestFit="1" customWidth="1"/>
    <col min="6" max="16384" width="8.83203125" style="1"/>
  </cols>
  <sheetData>
    <row r="1" spans="1:7" ht="18" thickBot="1" x14ac:dyDescent="0.25">
      <c r="A1" s="2" t="s">
        <v>0</v>
      </c>
      <c r="B1" s="3" t="s">
        <v>1</v>
      </c>
      <c r="C1" s="1" t="s">
        <v>4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ht="17" thickBot="1" x14ac:dyDescent="0.25">
      <c r="A2" s="4">
        <f>0.02</f>
        <v>0.02</v>
      </c>
      <c r="B2" s="5">
        <f>15.08</f>
        <v>15.08</v>
      </c>
      <c r="C2" s="7">
        <f>B2/1000</f>
        <v>1.508E-2</v>
      </c>
      <c r="D2" s="1">
        <f>A2*C2*1000</f>
        <v>0.30160000000000003</v>
      </c>
      <c r="E2" s="1">
        <f>C2*C2*$D$23 *1000</f>
        <v>154.19518358399998</v>
      </c>
      <c r="F2" s="1">
        <f>$D$24 *C2 *  1000</f>
        <v>154.41920000000002</v>
      </c>
      <c r="G2" s="6">
        <f>D2/F2</f>
        <v>1.953125E-3</v>
      </c>
    </row>
    <row r="3" spans="1:7" ht="17" thickBot="1" x14ac:dyDescent="0.25">
      <c r="A3" s="4">
        <f>0.81</f>
        <v>0.81</v>
      </c>
      <c r="B3" s="5">
        <f>13.9</f>
        <v>13.9</v>
      </c>
      <c r="C3" s="7">
        <f t="shared" ref="C3:C7" si="0">B3/1000</f>
        <v>1.3900000000000001E-2</v>
      </c>
      <c r="D3" s="1">
        <f t="shared" ref="D3:D7" si="1">A3*C3*1000</f>
        <v>11.259000000000002</v>
      </c>
      <c r="E3" s="1">
        <f t="shared" ref="E3:E7" si="2">C3*C3*$D$23 *1000</f>
        <v>131.00797260000002</v>
      </c>
      <c r="F3" s="1">
        <f t="shared" ref="F3:F7" si="3">$D$24 *C3 *  1000</f>
        <v>142.33600000000001</v>
      </c>
      <c r="G3" s="6">
        <f t="shared" ref="G3:G7" si="4">D3/F3</f>
        <v>7.9101562500000014E-2</v>
      </c>
    </row>
    <row r="4" spans="1:7" ht="17" thickBot="1" x14ac:dyDescent="0.25">
      <c r="A4" s="4">
        <f>1.73</f>
        <v>1.73</v>
      </c>
      <c r="B4" s="5">
        <f>12.56</f>
        <v>12.56</v>
      </c>
      <c r="C4" s="7">
        <f t="shared" si="0"/>
        <v>1.256E-2</v>
      </c>
      <c r="D4" s="1">
        <f t="shared" si="1"/>
        <v>21.7288</v>
      </c>
      <c r="E4" s="1">
        <f t="shared" si="2"/>
        <v>106.96640601599999</v>
      </c>
      <c r="F4" s="1">
        <f t="shared" si="3"/>
        <v>128.61439999999999</v>
      </c>
      <c r="G4" s="6">
        <f t="shared" si="4"/>
        <v>0.1689453125</v>
      </c>
    </row>
    <row r="5" spans="1:7" ht="17" thickBot="1" x14ac:dyDescent="0.25">
      <c r="A5" s="4">
        <f>2.53</f>
        <v>2.5299999999999998</v>
      </c>
      <c r="B5" s="5">
        <f>11.37</f>
        <v>11.37</v>
      </c>
      <c r="C5" s="7">
        <f t="shared" si="0"/>
        <v>1.137E-2</v>
      </c>
      <c r="D5" s="1">
        <f t="shared" si="1"/>
        <v>28.766099999999994</v>
      </c>
      <c r="E5" s="1">
        <f t="shared" si="2"/>
        <v>87.657494813999989</v>
      </c>
      <c r="F5" s="1">
        <f t="shared" si="3"/>
        <v>116.4288</v>
      </c>
      <c r="G5" s="6">
        <f t="shared" si="4"/>
        <v>0.24707031249999997</v>
      </c>
    </row>
    <row r="6" spans="1:7" ht="17" thickBot="1" x14ac:dyDescent="0.25">
      <c r="A6" s="4">
        <f>3.2</f>
        <v>3.2</v>
      </c>
      <c r="B6" s="5">
        <f>10.38</f>
        <v>10.38</v>
      </c>
      <c r="C6" s="7">
        <f t="shared" si="0"/>
        <v>1.038E-2</v>
      </c>
      <c r="D6" s="1">
        <f t="shared" si="1"/>
        <v>33.216000000000001</v>
      </c>
      <c r="E6" s="1">
        <f t="shared" si="2"/>
        <v>73.057167864000007</v>
      </c>
      <c r="F6" s="1">
        <f t="shared" si="3"/>
        <v>106.2912</v>
      </c>
      <c r="G6" s="6">
        <f t="shared" si="4"/>
        <v>0.3125</v>
      </c>
    </row>
    <row r="7" spans="1:7" ht="17" thickBot="1" x14ac:dyDescent="0.25">
      <c r="A7" s="4">
        <f>3.91</f>
        <v>3.91</v>
      </c>
      <c r="B7" s="5">
        <f>9.33</f>
        <v>9.33</v>
      </c>
      <c r="C7" s="7">
        <f t="shared" si="0"/>
        <v>9.3299999999999998E-3</v>
      </c>
      <c r="D7" s="1">
        <f t="shared" si="1"/>
        <v>36.4803</v>
      </c>
      <c r="E7" s="1">
        <f t="shared" si="2"/>
        <v>59.024377133999991</v>
      </c>
      <c r="F7" s="1">
        <f t="shared" si="3"/>
        <v>95.539200000000008</v>
      </c>
      <c r="G7" s="6">
        <f t="shared" si="4"/>
        <v>0.38183593749999994</v>
      </c>
    </row>
    <row r="8" spans="1:7" ht="17" thickBot="1" x14ac:dyDescent="0.25">
      <c r="A8" s="4">
        <f>4.41</f>
        <v>4.41</v>
      </c>
      <c r="B8" s="5">
        <f>8.55</f>
        <v>8.5500000000000007</v>
      </c>
      <c r="C8" s="7">
        <f t="shared" ref="C8:C21" si="5">B8/1000</f>
        <v>8.5500000000000003E-3</v>
      </c>
      <c r="D8" s="1">
        <f t="shared" ref="D8:D21" si="6">A8*C8*1000</f>
        <v>37.705500000000001</v>
      </c>
      <c r="E8" s="1">
        <f t="shared" ref="E8:E21" si="7">C8*C8*$D$23 *1000</f>
        <v>49.567881149999991</v>
      </c>
      <c r="F8" s="1">
        <f t="shared" ref="F8:F21" si="8">$D$24 *C8 *  1000</f>
        <v>87.552000000000007</v>
      </c>
      <c r="G8" s="6">
        <f t="shared" ref="G8:G21" si="9">D8/F8</f>
        <v>0.4306640625</v>
      </c>
    </row>
    <row r="9" spans="1:7" ht="17" thickBot="1" x14ac:dyDescent="0.25">
      <c r="A9" s="4">
        <f>4.79</f>
        <v>4.79</v>
      </c>
      <c r="B9" s="5">
        <f>8.03</f>
        <v>8.0299999999999994</v>
      </c>
      <c r="C9" s="7">
        <f t="shared" si="5"/>
        <v>8.0299999999999989E-3</v>
      </c>
      <c r="D9" s="1">
        <f t="shared" si="6"/>
        <v>38.463699999999996</v>
      </c>
      <c r="E9" s="1">
        <f t="shared" si="7"/>
        <v>43.72191905399999</v>
      </c>
      <c r="F9" s="1">
        <f t="shared" si="8"/>
        <v>82.227199999999982</v>
      </c>
      <c r="G9" s="6">
        <f t="shared" si="9"/>
        <v>0.46777343750000006</v>
      </c>
    </row>
    <row r="10" spans="1:7" ht="17" thickBot="1" x14ac:dyDescent="0.25">
      <c r="A10" s="4">
        <f>5.01</f>
        <v>5.01</v>
      </c>
      <c r="B10" s="5">
        <f>7.72</f>
        <v>7.72</v>
      </c>
      <c r="C10" s="7">
        <f t="shared" si="5"/>
        <v>7.7199999999999994E-3</v>
      </c>
      <c r="D10" s="1">
        <f t="shared" si="6"/>
        <v>38.677199999999992</v>
      </c>
      <c r="E10" s="1">
        <f t="shared" si="7"/>
        <v>40.411291103999993</v>
      </c>
      <c r="F10" s="1">
        <f t="shared" si="8"/>
        <v>79.052799999999991</v>
      </c>
      <c r="G10" s="6">
        <f t="shared" si="9"/>
        <v>0.48925781249999994</v>
      </c>
    </row>
    <row r="11" spans="1:7" ht="17" thickBot="1" x14ac:dyDescent="0.25">
      <c r="A11" s="4">
        <f>5.14</f>
        <v>5.14</v>
      </c>
      <c r="B11" s="5">
        <f>7.52</f>
        <v>7.52</v>
      </c>
      <c r="C11" s="7">
        <f t="shared" si="5"/>
        <v>7.5199999999999998E-3</v>
      </c>
      <c r="D11" s="1">
        <f t="shared" si="6"/>
        <v>38.652799999999992</v>
      </c>
      <c r="E11" s="1">
        <f t="shared" si="7"/>
        <v>38.344564223999996</v>
      </c>
      <c r="F11" s="1">
        <f t="shared" si="8"/>
        <v>77.004800000000003</v>
      </c>
      <c r="G11" s="6">
        <f t="shared" si="9"/>
        <v>0.50195312499999989</v>
      </c>
    </row>
    <row r="12" spans="1:7" ht="17" thickBot="1" x14ac:dyDescent="0.25">
      <c r="A12" s="4">
        <f>5.23</f>
        <v>5.23</v>
      </c>
      <c r="B12" s="5">
        <f>7.39</f>
        <v>7.39</v>
      </c>
      <c r="C12" s="7">
        <f t="shared" si="5"/>
        <v>7.3899999999999999E-3</v>
      </c>
      <c r="D12" s="1">
        <f t="shared" si="6"/>
        <v>38.649700000000003</v>
      </c>
      <c r="E12" s="1">
        <f t="shared" si="7"/>
        <v>37.030280525999999</v>
      </c>
      <c r="F12" s="1">
        <f t="shared" si="8"/>
        <v>75.673599999999993</v>
      </c>
      <c r="G12" s="6">
        <f t="shared" si="9"/>
        <v>0.51074218750000011</v>
      </c>
    </row>
    <row r="13" spans="1:7" ht="17" thickBot="1" x14ac:dyDescent="0.25">
      <c r="A13" s="4">
        <f>5.39</f>
        <v>5.39</v>
      </c>
      <c r="B13" s="5">
        <f>7.15</f>
        <v>7.15</v>
      </c>
      <c r="C13" s="7">
        <f t="shared" si="5"/>
        <v>7.1500000000000001E-3</v>
      </c>
      <c r="D13" s="1">
        <f t="shared" si="6"/>
        <v>38.538499999999999</v>
      </c>
      <c r="E13" s="1">
        <f t="shared" si="7"/>
        <v>34.66412235</v>
      </c>
      <c r="F13" s="1">
        <f t="shared" si="8"/>
        <v>73.216000000000008</v>
      </c>
      <c r="G13" s="6">
        <f t="shared" si="9"/>
        <v>0.52636718749999989</v>
      </c>
    </row>
    <row r="14" spans="1:7" ht="17" thickBot="1" x14ac:dyDescent="0.25">
      <c r="A14" s="4">
        <f>5.58</f>
        <v>5.58</v>
      </c>
      <c r="B14" s="5">
        <f>6.87</f>
        <v>6.87</v>
      </c>
      <c r="C14" s="7">
        <f t="shared" si="5"/>
        <v>6.8700000000000002E-3</v>
      </c>
      <c r="D14" s="1">
        <f t="shared" si="6"/>
        <v>38.334600000000002</v>
      </c>
      <c r="E14" s="1">
        <f t="shared" si="7"/>
        <v>32.002330013999995</v>
      </c>
      <c r="F14" s="1">
        <f t="shared" si="8"/>
        <v>70.348799999999997</v>
      </c>
      <c r="G14" s="6">
        <f t="shared" si="9"/>
        <v>0.544921875</v>
      </c>
    </row>
    <row r="15" spans="1:7" ht="17" thickBot="1" x14ac:dyDescent="0.25">
      <c r="A15" s="4">
        <f>5.74</f>
        <v>5.74</v>
      </c>
      <c r="B15" s="5">
        <f>6.64</f>
        <v>6.64</v>
      </c>
      <c r="C15" s="7">
        <f t="shared" si="5"/>
        <v>6.6400000000000001E-3</v>
      </c>
      <c r="D15" s="1">
        <f t="shared" si="6"/>
        <v>38.113600000000005</v>
      </c>
      <c r="E15" s="1">
        <f t="shared" si="7"/>
        <v>29.895394175999996</v>
      </c>
      <c r="F15" s="1">
        <f t="shared" si="8"/>
        <v>67.993600000000001</v>
      </c>
      <c r="G15" s="6">
        <f t="shared" si="9"/>
        <v>0.56054687500000011</v>
      </c>
    </row>
    <row r="16" spans="1:7" ht="17" thickBot="1" x14ac:dyDescent="0.25">
      <c r="A16" s="4">
        <f>5.99</f>
        <v>5.99</v>
      </c>
      <c r="B16" s="5">
        <f>6.26</f>
        <v>6.26</v>
      </c>
      <c r="C16" s="7">
        <f t="shared" si="5"/>
        <v>6.2599999999999999E-3</v>
      </c>
      <c r="D16" s="1">
        <f t="shared" si="6"/>
        <v>37.497399999999999</v>
      </c>
      <c r="E16" s="1">
        <f t="shared" si="7"/>
        <v>26.571544055999997</v>
      </c>
      <c r="F16" s="1">
        <f t="shared" si="8"/>
        <v>64.102400000000003</v>
      </c>
      <c r="G16" s="6">
        <f t="shared" si="9"/>
        <v>0.5849609375</v>
      </c>
    </row>
    <row r="17" spans="1:7" ht="17" thickBot="1" x14ac:dyDescent="0.25">
      <c r="A17" s="4">
        <f>6.12</f>
        <v>6.12</v>
      </c>
      <c r="B17" s="5">
        <f>6.07</f>
        <v>6.07</v>
      </c>
      <c r="C17" s="7">
        <f t="shared" si="5"/>
        <v>6.0699999999999999E-3</v>
      </c>
      <c r="D17" s="1">
        <f t="shared" si="6"/>
        <v>37.148399999999995</v>
      </c>
      <c r="E17" s="1">
        <f t="shared" si="7"/>
        <v>24.983052893999993</v>
      </c>
      <c r="F17" s="1">
        <f t="shared" si="8"/>
        <v>62.156799999999997</v>
      </c>
      <c r="G17" s="6">
        <f t="shared" si="9"/>
        <v>0.59765625</v>
      </c>
    </row>
    <row r="18" spans="1:7" ht="17" thickBot="1" x14ac:dyDescent="0.25">
      <c r="A18" s="4">
        <f>6.23</f>
        <v>6.23</v>
      </c>
      <c r="B18" s="5">
        <f>5.91</f>
        <v>5.91</v>
      </c>
      <c r="C18" s="7">
        <f t="shared" si="5"/>
        <v>5.9100000000000003E-3</v>
      </c>
      <c r="D18" s="1">
        <f t="shared" si="6"/>
        <v>36.819300000000005</v>
      </c>
      <c r="E18" s="1">
        <f t="shared" si="7"/>
        <v>23.683347486000002</v>
      </c>
      <c r="F18" s="1">
        <f t="shared" si="8"/>
        <v>60.518400000000007</v>
      </c>
      <c r="G18" s="6">
        <f t="shared" si="9"/>
        <v>0.6083984375</v>
      </c>
    </row>
    <row r="19" spans="1:7" ht="17" thickBot="1" x14ac:dyDescent="0.25">
      <c r="A19" s="4">
        <f>6.38</f>
        <v>6.38</v>
      </c>
      <c r="B19" s="5">
        <f>5.7</f>
        <v>5.7</v>
      </c>
      <c r="C19" s="7">
        <f t="shared" si="5"/>
        <v>5.7000000000000002E-3</v>
      </c>
      <c r="D19" s="1">
        <f t="shared" si="6"/>
        <v>36.366</v>
      </c>
      <c r="E19" s="1">
        <f t="shared" si="7"/>
        <v>22.030169400000002</v>
      </c>
      <c r="F19" s="1">
        <f t="shared" si="8"/>
        <v>58.368000000000002</v>
      </c>
      <c r="G19" s="6">
        <f t="shared" si="9"/>
        <v>0.623046875</v>
      </c>
    </row>
    <row r="20" spans="1:7" ht="17" thickBot="1" x14ac:dyDescent="0.25">
      <c r="A20" s="4">
        <f>6.53</f>
        <v>6.53</v>
      </c>
      <c r="B20" s="5">
        <f>5.48</f>
        <v>5.48</v>
      </c>
      <c r="C20" s="7">
        <f t="shared" si="5"/>
        <v>5.4800000000000005E-3</v>
      </c>
      <c r="D20" s="1">
        <f t="shared" si="6"/>
        <v>35.784400000000005</v>
      </c>
      <c r="E20" s="1">
        <f t="shared" si="7"/>
        <v>20.362413024000002</v>
      </c>
      <c r="F20" s="1">
        <f t="shared" si="8"/>
        <v>56.115200000000002</v>
      </c>
      <c r="G20" s="6">
        <f t="shared" si="9"/>
        <v>0.63769531250000011</v>
      </c>
    </row>
    <row r="21" spans="1:7" ht="17" thickBot="1" x14ac:dyDescent="0.25">
      <c r="A21" s="4">
        <f>6.76</f>
        <v>6.76</v>
      </c>
      <c r="B21" s="5">
        <f>5.14</f>
        <v>5.14</v>
      </c>
      <c r="C21" s="7">
        <f t="shared" si="5"/>
        <v>5.1399999999999996E-3</v>
      </c>
      <c r="D21" s="1">
        <f t="shared" si="6"/>
        <v>34.746399999999994</v>
      </c>
      <c r="E21" s="1">
        <f t="shared" si="7"/>
        <v>17.914073975999994</v>
      </c>
      <c r="F21" s="1">
        <f t="shared" si="8"/>
        <v>52.633599999999994</v>
      </c>
      <c r="G21" s="6">
        <f t="shared" si="9"/>
        <v>0.66015625</v>
      </c>
    </row>
    <row r="23" spans="1:7" x14ac:dyDescent="0.2">
      <c r="B23" s="1">
        <f>INDEX(LINEST(A2:A21, C2:C21), 1)</f>
        <v>-678.06314564808508</v>
      </c>
      <c r="C23" s="1" t="s">
        <v>2</v>
      </c>
      <c r="D23" s="1">
        <f>678.06</f>
        <v>678.06</v>
      </c>
      <c r="E23" s="8" t="s">
        <v>5</v>
      </c>
      <c r="F23" s="1">
        <f>INDEX(LINEST(A2:A21, C2:C21, 1, 1), 2, 1)</f>
        <v>0.68324322718124597</v>
      </c>
    </row>
    <row r="24" spans="1:7" x14ac:dyDescent="0.2">
      <c r="B24" s="1">
        <f>INDEX(LINEST(A2:A21, C2:C21), 2)</f>
        <v>10.238522424025632</v>
      </c>
      <c r="C24" s="1" t="s">
        <v>3</v>
      </c>
      <c r="D24" s="1">
        <f>10.24</f>
        <v>10.24</v>
      </c>
      <c r="E24" s="8" t="s">
        <v>6</v>
      </c>
      <c r="F24" s="1">
        <f>INDEX(LINEST(A2:A21, B2:B21, 1, 1), 2, 2)</f>
        <v>6.0208696149953609E-3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Zykov</dc:creator>
  <cp:lastModifiedBy>Косогова Мария Александровна</cp:lastModifiedBy>
  <dcterms:created xsi:type="dcterms:W3CDTF">2026-03-06T09:36:36Z</dcterms:created>
  <dcterms:modified xsi:type="dcterms:W3CDTF">2026-03-06T18:27:36Z</dcterms:modified>
</cp:coreProperties>
</file>